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ject Info" sheetId="2" state="visible" r:id="rId2"/>
    <sheet xmlns:r="http://schemas.openxmlformats.org/officeDocument/2006/relationships" name="Effort Summary" sheetId="3" state="visible" r:id="rId3"/>
    <sheet xmlns:r="http://schemas.openxmlformats.org/officeDocument/2006/relationships" name="Screens" sheetId="4" state="visible" r:id="rId4"/>
    <sheet xmlns:r="http://schemas.openxmlformats.org/officeDocument/2006/relationships" name="Backend Services" sheetId="5" state="visible" r:id="rId5"/>
    <sheet xmlns:r="http://schemas.openxmlformats.org/officeDocument/2006/relationships" name="Microservices &amp; Integrations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rgb="FFFFFFFF"/>
      <sz val="11"/>
    </font>
    <font>
      <name val="Arial"/>
      <charset val="1"/>
      <family val="0"/>
      <i val="1"/>
      <color rgb="FF555555"/>
      <sz val="9"/>
    </font>
    <font>
      <name val="Arial"/>
      <charset val="1"/>
      <family val="0"/>
      <b val="1"/>
      <sz val="11"/>
    </font>
    <font>
      <name val="Arial"/>
      <family val="2"/>
      <sz val="10"/>
    </font>
  </fonts>
  <fills count="8">
    <fill>
      <patternFill/>
    </fill>
    <fill>
      <patternFill patternType="gray125"/>
    </fill>
    <fill>
      <patternFill patternType="solid">
        <fgColor rgb="FF1F4E78"/>
        <bgColor rgb="FF305496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2E75B6"/>
        <bgColor rgb="FF305496"/>
      </patternFill>
    </fill>
    <fill>
      <patternFill patternType="solid">
        <fgColor rgb="FF305496"/>
        <b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0" fillId="3" borderId="0" applyAlignment="1" pivotButton="0" quotePrefix="0" xfId="0">
      <alignment horizontal="general" vertical="bottom"/>
    </xf>
    <xf numFmtId="0" fontId="6" fillId="4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6" fillId="5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general" vertical="center" indent="1"/>
    </xf>
    <xf numFmtId="0" fontId="6" fillId="4" borderId="1" applyAlignment="1" pivotButton="0" quotePrefix="0" xfId="0">
      <alignment horizontal="general" vertical="top" wrapText="1"/>
    </xf>
    <xf numFmtId="0" fontId="7" fillId="6" borderId="0" applyAlignment="1" pivotButton="0" quotePrefix="0" xfId="0">
      <alignment horizontal="left" vertical="center" indent="1"/>
    </xf>
    <xf numFmtId="0" fontId="5" fillId="3" borderId="1" applyAlignment="1" pivotButton="0" quotePrefix="0" xfId="0">
      <alignment horizontal="general" vertical="top" indent="1"/>
    </xf>
    <xf numFmtId="0" fontId="8" fillId="7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general" vertical="center" indent="1"/>
    </xf>
    <xf numFmtId="0" fontId="7" fillId="6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9" fontId="6" fillId="4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center" indent="1"/>
    </xf>
    <xf numFmtId="0" fontId="6" fillId="4" borderId="1" applyAlignment="1" pivotButton="0" quotePrefix="0" xfId="0">
      <alignment horizontal="center" vertical="center"/>
    </xf>
    <xf numFmtId="165" fontId="6" fillId="5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general" vertical="center" indent="1"/>
    </xf>
    <xf numFmtId="165" fontId="10" fillId="5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right" vertical="bottom"/>
    </xf>
    <xf numFmtId="0" fontId="10" fillId="5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0" fillId="3" borderId="0" applyAlignment="1" pivotButton="0" quotePrefix="0" xfId="0">
      <alignment horizontal="general" vertical="bottom"/>
    </xf>
    <xf numFmtId="0" fontId="6" fillId="4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6" fillId="5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general" vertical="center" indent="1"/>
    </xf>
    <xf numFmtId="0" fontId="6" fillId="4" borderId="1" applyAlignment="1" pivotButton="0" quotePrefix="0" xfId="0">
      <alignment horizontal="general" vertical="top" wrapText="1"/>
    </xf>
    <xf numFmtId="0" fontId="7" fillId="6" borderId="0" applyAlignment="1" pivotButton="0" quotePrefix="0" xfId="0">
      <alignment horizontal="left" vertical="center" indent="1"/>
    </xf>
    <xf numFmtId="0" fontId="5" fillId="3" borderId="1" applyAlignment="1" pivotButton="0" quotePrefix="0" xfId="0">
      <alignment horizontal="general" vertical="top" indent="1"/>
    </xf>
    <xf numFmtId="0" fontId="8" fillId="7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general" vertical="center" indent="1"/>
    </xf>
    <xf numFmtId="0" fontId="7" fillId="6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9" fontId="6" fillId="4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center" indent="1"/>
    </xf>
    <xf numFmtId="0" fontId="6" fillId="4" borderId="1" applyAlignment="1" pivotButton="0" quotePrefix="0" xfId="0">
      <alignment horizontal="center" vertical="center"/>
    </xf>
    <xf numFmtId="165" fontId="6" fillId="5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general" vertical="center" indent="1"/>
    </xf>
    <xf numFmtId="165" fontId="10" fillId="5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right" vertical="bottom"/>
    </xf>
    <xf numFmtId="0" fontId="10" fillId="5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1F4E78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Unknown Author</author>
  </authors>
  <commentList>
    <comment ref="L3" authorId="0" shapeId="0">
      <text>
        <t>S=1d, M=3d, L=8d, XL=15d. Use override column if you need a different number.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C3" authorId="0" shapeId="0">
      <text>
        <t>e.g. REST API, GraphQL, Worker, Scheduled job, gRPC, Auth service, Gateway</t>
      </text>
    </comment>
    <comment ref="M3" authorId="0" shapeId="0">
      <text>
        <t>S=1d, M=3d, L=8d, XL=15d. Use override column if you need a different number.</t>
      </text>
    </comment>
  </commentList>
</comments>
</file>

<file path=xl/comments/comment3.xml><?xml version="1.0" encoding="utf-8"?>
<comments xmlns="http://schemas.openxmlformats.org/spreadsheetml/2006/main">
  <authors>
    <author>Unknown Author</author>
  </authors>
  <commentList>
    <comment ref="C3" authorId="0" shapeId="0">
      <text>
        <t>e.g. Microservice, Message Queue, Database, Cache, Object Storage, Auth Provider, Email/SMS, Payment Gateway, Analytics, Monitoring, CI/CD</t>
      </text>
    </comment>
    <comment ref="N3" authorId="0" shapeId="0">
      <text>
        <t>S=1d, M=3d, L=8d, XL=15d. Use override column if you need a different number.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1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27" min="1" max="1"/>
    <col width="28" customWidth="1" style="27" min="2" max="2"/>
    <col width="75" customWidth="1" style="27" min="3" max="3"/>
  </cols>
  <sheetData>
    <row r="1" ht="31.5" customHeight="1" s="28">
      <c r="A1" s="29" t="inlineStr">
        <is>
          <t>MVP Solution Architecture &amp; Effort Sizing — Instructions</t>
        </is>
      </c>
    </row>
    <row r="2" ht="7.5" customHeight="1" s="28"/>
    <row r="3" ht="60" customHeight="1" s="28">
      <c r="B3" s="30" t="inlineStr">
        <is>
          <t>Purpose</t>
        </is>
      </c>
      <c r="C3" s="31" t="inlineStr">
        <is>
          <t>This workbook captures the solution architecture for an MVP and produces an effort estimate based on a single developer's inventory. Fill the yellow cells. Green cells calculate automatically. The Effort Summary sheet rolls up totals.</t>
        </is>
      </c>
    </row>
    <row r="4" ht="139.5" customHeight="1" s="28">
      <c r="B4" s="30" t="inlineStr">
        <is>
          <t>How to use</t>
        </is>
      </c>
      <c r="C4" s="31" t="inlineStr">
        <is>
          <t>1. Fill the Project Info sheet (project name, dates, demo target).
2. List every Screen on the Screens sheet — purpose, functionality, current vs target state.
3. List every Backend Service / API on the Backend Services sheet.
4. List every Microservice and Integration on the Microservices &amp; Integrations sheet.
5. For each item, set Status and Complexity. Estimated Days auto-fills from Complexity.
6. Override the Estimated Days column manually whenever you have a better number.
7. Review the Effort Summary sheet — it aggregates the entire workbook.</t>
        </is>
      </c>
    </row>
    <row r="5" ht="15" customHeight="1" s="28">
      <c r="B5" s="30" t="inlineStr">
        <is>
          <t>Color legend</t>
        </is>
      </c>
      <c r="C5" s="32" t="n"/>
    </row>
    <row r="6" ht="15" customHeight="1" s="28">
      <c r="B6" s="33" t="inlineStr">
        <is>
          <t>Yellow</t>
        </is>
      </c>
      <c r="C6" s="34" t="inlineStr">
        <is>
          <t>Input cell — fill this in.</t>
        </is>
      </c>
    </row>
    <row r="7" ht="15" customHeight="1" s="28">
      <c r="B7" s="35" t="inlineStr">
        <is>
          <t>Green</t>
        </is>
      </c>
      <c r="C7" s="34" t="inlineStr">
        <is>
          <t>Calculated — formula will fill it for you.</t>
        </is>
      </c>
    </row>
    <row r="9" ht="39.75" customHeight="1" s="28">
      <c r="B9" s="30" t="inlineStr">
        <is>
          <t>Status values</t>
        </is>
      </c>
      <c r="C9" s="31" t="inlineStr">
        <is>
          <t>Not Started  •  In Progress  •  Blocked  •  Done
Use the dropdown in the Status column.</t>
        </is>
      </c>
    </row>
    <row r="10" ht="120" customHeight="1" s="28">
      <c r="B10" s="30" t="inlineStr">
        <is>
          <t>Complexity scale</t>
        </is>
      </c>
      <c r="C10" s="31" t="inlineStr">
        <is>
          <t>S  = Small,   ~1 dev-day   (trivial change, simple CRUD endpoint, basic screen)
M  = Medium,  ~3 dev-days  (standard feature with some logic)
L  = Large,   ~8 dev-days  (multi-component feature, non-trivial integration)
XL = X-Large, ~15 dev-days (new service, complex flow, heavy unknowns)
These defaults are conservative for a single developer. Override the Estimated Days column whenever you have a better number from a spike or prior experience.</t>
        </is>
      </c>
    </row>
    <row r="12" ht="60" customHeight="1" s="28">
      <c r="B12" s="30" t="inlineStr">
        <is>
          <t>Tip</t>
        </is>
      </c>
      <c r="C12" s="31" t="inlineStr">
        <is>
          <t>If a row represents work that is already Done, set Status = Done. Done items are excluded from the 'Remaining' totals on the Effort Summary so you can see exactly how much is left to reach the demo.</t>
        </is>
      </c>
    </row>
  </sheetData>
  <mergeCells count="1">
    <mergeCell ref="A1:C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27" min="1" max="1"/>
    <col width="32" customWidth="1" style="27" min="2" max="2"/>
    <col width="70" customWidth="1" style="27" min="3" max="3"/>
  </cols>
  <sheetData>
    <row r="1" ht="31.5" customHeight="1" s="28">
      <c r="A1" s="29" t="inlineStr">
        <is>
          <t>Project Information</t>
        </is>
      </c>
    </row>
    <row r="2" ht="7.5" customHeight="1" s="28"/>
    <row r="3" ht="27.75" customHeight="1" s="28">
      <c r="B3" s="36" t="inlineStr">
        <is>
          <t>Project / MVP name</t>
        </is>
      </c>
      <c r="C3" s="37" t="inlineStr">
        <is>
          <t>Aurion Clinical AI — MVP (Clinic Mode, CREOQ/CLLC pilot)</t>
        </is>
      </c>
    </row>
    <row r="4" ht="27.75" customHeight="1" s="28">
      <c r="B4" s="36" t="inlineStr">
        <is>
          <t>Developer (owner)</t>
        </is>
      </c>
      <c r="C4" s="37" t="inlineStr">
        <is>
          <t>Faïçal Sawadogo (CTO / sole developer)</t>
        </is>
      </c>
    </row>
    <row r="5" ht="27.75" customHeight="1" s="28">
      <c r="B5" s="36" t="inlineStr">
        <is>
          <t>Today's date</t>
        </is>
      </c>
      <c r="C5" s="37" t="inlineStr">
        <is>
          <t>2026-05-14</t>
        </is>
      </c>
    </row>
    <row r="6" ht="27.75" customHeight="1" s="28">
      <c r="B6" s="36" t="inlineStr">
        <is>
          <t>Target demo date</t>
        </is>
      </c>
      <c r="C6" s="37" t="inlineStr">
        <is>
          <t>2026-07-15</t>
        </is>
      </c>
    </row>
    <row r="7" ht="27.75" customHeight="1" s="28">
      <c r="B7" s="36" t="inlineStr">
        <is>
          <t>Working days available</t>
        </is>
      </c>
      <c r="C7" s="37" t="n">
        <v>44</v>
      </c>
    </row>
    <row r="8" ht="27.75" customHeight="1" s="28">
      <c r="B8" s="36" t="inlineStr">
        <is>
          <t>Demo audience / stakeholder</t>
        </is>
      </c>
      <c r="C8" s="37" t="inlineStr">
        <is>
          <t>Dr. Perry Gdalevitch (plastic surgery) + Dr. Marie Gdalevitch (orthopedic surgery), CREOQ/CLLC pilot</t>
        </is>
      </c>
    </row>
    <row r="9" ht="27.75" customHeight="1" s="28">
      <c r="B9" s="36" t="inlineStr">
        <is>
          <t>Primary business goal</t>
        </is>
      </c>
      <c r="C9" s="37" t="inlineStr">
        <is>
          <t>Prove a wearable multimodal AI scribe can produce traceable, descriptive-mode clinical notes safely enough to run a 3–5 clinician pilot.</t>
        </is>
      </c>
    </row>
    <row r="10" ht="27.75" customHeight="1" s="28">
      <c r="B10" s="36" t="inlineStr">
        <is>
          <t>In-scope for demo (one line)</t>
        </is>
      </c>
      <c r="C10" s="37" t="inlineStr">
        <is>
          <t>Consent → record → transcript → Stage 1 → Stage 2 vision → review with conflict resolution → DOCX/text export → audited local purge. iPhone/iPad fallback (Ray-Ban Meta deferred).</t>
        </is>
      </c>
    </row>
    <row r="11" ht="27.75" customHeight="1" s="28">
      <c r="B11" s="36" t="inlineStr">
        <is>
          <t>Explicitly out-of-scope</t>
        </is>
      </c>
      <c r="C11" s="37" t="inlineStr">
        <is>
          <t>Ray-Ban Meta SDK (M-03 deferred), EMR/FHIR integration, Post-Op/Procedural Mode, French support, full Web Patient Chart Workspace, Schedule, Templates CRUD UI, fine-tuning, diagnostic inference, Android.</t>
        </is>
      </c>
    </row>
    <row r="12" ht="27.75" customHeight="1" s="28">
      <c r="B12" s="36" t="inlineStr">
        <is>
          <t>Tech stack (frontend)</t>
        </is>
      </c>
      <c r="C12" s="37" t="inlineStr">
        <is>
          <t>SwiftUI universal iOS app (iPhone + iPad), iOS 16+, A15 Bionic min. Apple Vision + ReplayKit + AVFoundation for capture/masking.</t>
        </is>
      </c>
    </row>
    <row r="13" ht="27.75" customHeight="1" s="28">
      <c r="B13" s="36" t="inlineStr">
        <is>
          <t>Tech stack (backend)</t>
        </is>
      </c>
      <c r="C13" s="37" t="inlineStr">
        <is>
          <t>Python 3.12, FastAPI, SQLAlchemy async, PostgreSQL, Pydantic v2. Provider registry abstracts OpenAI / Anthropic / Gemini for note-gen + vision; Whisper / AssemblyAI for transcription.</t>
        </is>
      </c>
    </row>
    <row r="14" ht="27.75" customHeight="1" s="28">
      <c r="B14" s="36" t="inlineStr">
        <is>
          <t>Hosting / infra</t>
        </is>
      </c>
      <c r="C14" s="37" t="inlineStr">
        <is>
          <t>AWS ca-central-1: S3 (frames, audio), DynamoDB (audit log), AppConfig (runtime config), Cognito (auth), KMS, Textract (screen OCR), Secrets Manager. LocalStack for dev. Terraform/HCL IaC.</t>
        </is>
      </c>
    </row>
    <row r="15" ht="27.75" customHeight="1" s="28">
      <c r="B15" s="36" t="inlineStr">
        <is>
          <t>Known risks / unknowns</t>
        </is>
      </c>
      <c r="C15" s="37" t="inlineStr">
        <is>
          <t>(1) No Alembic migrations — P0-04 outstanding. (2) Admin users + eval scores still in-memory — P0-06. (3) End-to-end smoke test missing — P0-07. (4) Stage 2 background task is fire-and-forget; no recovery sweep for abandoned jobs. (5) Hand-rolled DOCX writer untested against full Word fidelity.</t>
        </is>
      </c>
    </row>
    <row r="17" ht="25.5" customHeight="1" s="28">
      <c r="A17" s="38" t="inlineStr">
        <is>
          <t>Current State → Target State (high-level narrative)</t>
        </is>
      </c>
    </row>
    <row r="18" ht="99.75" customHeight="1" s="28">
      <c r="B18" s="39" t="inlineStr">
        <is>
          <t>Current state</t>
        </is>
      </c>
      <c r="C18" s="37" t="inlineStr">
        <is>
          <t>Backend (FastAPI) has full session lifecycle, transcription, Stage 1 + Stage 2 note generation, screen OCR, vision conflict detection, async Stage 2 jobs, on-device export audit, and immutable audit log. 200 unit tests passing. iOS app covers onboarding (incl. voice enrollment), capture (audio/video/screen), on-device PHI masking (fail-closed, P0-01/02), Stage 1 SLA instrumentation, note review with conflict resolution + source badges, on-device DOCX/plain-text export with audited local purge, iPad-adaptive layouts. Web portal scaffolds: dashboard, audit, masking report, eval, config, users (mock).</t>
        </is>
      </c>
    </row>
    <row r="19" ht="99.75" customHeight="1" s="28">
      <c r="B19" s="39" t="inlineStr">
        <is>
          <t>Target state for demo</t>
        </is>
      </c>
      <c r="C19" s="37" t="inlineStr">
        <is>
          <t>One clinician completes a full encounter on iPhone or iPad: consent gate enforces, audio/video/screen capture, Stage 1 &lt; 30 s, Stage 2 enrichment lands async, conflicts resolved explicitly, DOCX/text exported on-device, local data purged with audit confirmation. 3–5 clinicians run this in clinic during the pilot week.</t>
        </is>
      </c>
    </row>
    <row r="20" ht="99.75" customHeight="1" s="28">
      <c r="B20" s="39" t="inlineStr">
        <is>
          <t>Gap (what must be built)</t>
        </is>
      </c>
      <c r="C20" s="37" t="inlineStr">
        <is>
          <t>Alembic migrations (P0-04, XL); persistent user + eval store (P0-06, L); E2E smoke test script (P0-07, M); web note-review UI (W-04, L, post-pilot acceptable); patient/schedule/templates (B-01/B-02/B-03, post-pilot).</t>
        </is>
      </c>
    </row>
  </sheetData>
  <mergeCells count="2">
    <mergeCell ref="A1:C1"/>
    <mergeCell ref="A17:C1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27" min="1" max="1"/>
    <col width="32" customWidth="1" style="27" min="2" max="2"/>
    <col width="16" customWidth="1" style="27" min="3" max="6"/>
    <col width="14" customWidth="1" style="27" min="7" max="7"/>
  </cols>
  <sheetData>
    <row r="1" ht="31.5" customHeight="1" s="28">
      <c r="A1" s="29" t="inlineStr">
        <is>
          <t>Effort Summary — Rolled Up</t>
        </is>
      </c>
    </row>
    <row r="2" ht="7.5" customHeight="1" s="28"/>
    <row r="3" ht="30" customHeight="1" s="28">
      <c r="A3" s="40" t="inlineStr">
        <is>
          <t>Area</t>
        </is>
      </c>
      <c r="B3" s="40" t="inlineStr">
        <is>
          <t>Items planned</t>
        </is>
      </c>
      <c r="C3" s="40" t="inlineStr">
        <is>
          <t>Items done</t>
        </is>
      </c>
      <c r="D3" s="40" t="inlineStr">
        <is>
          <t>Total effort (days)</t>
        </is>
      </c>
      <c r="E3" s="40" t="inlineStr">
        <is>
          <t>Remaining (days)</t>
        </is>
      </c>
      <c r="F3" s="40" t="inlineStr">
        <is>
          <t>% remaining</t>
        </is>
      </c>
      <c r="G3" s="40" t="inlineStr">
        <is>
          <t>% remaining</t>
        </is>
      </c>
    </row>
    <row r="4" ht="25.5" customHeight="1" s="28">
      <c r="B4" s="36" t="inlineStr">
        <is>
          <t>Screens</t>
        </is>
      </c>
      <c r="C4" s="41">
        <f>COUNTA(Screens!B4:B28)</f>
        <v/>
      </c>
      <c r="D4" s="41">
        <f>COUNTIF(Screens!K4:K28,"Done")</f>
        <v/>
      </c>
      <c r="E4" s="41">
        <f>Screens!O30</f>
        <v/>
      </c>
      <c r="F4" s="41">
        <f>Screens!O31</f>
        <v/>
      </c>
      <c r="G4" s="42">
        <f>IF(E4=0,0,F4/E4)</f>
        <v/>
      </c>
    </row>
    <row r="5" ht="25.5" customHeight="1" s="28">
      <c r="B5" s="36" t="inlineStr">
        <is>
          <t>Backend Services</t>
        </is>
      </c>
      <c r="C5" s="41">
        <f>COUNTA('Backend Services'!B4:B33)</f>
        <v/>
      </c>
      <c r="D5" s="41">
        <f>COUNTIF('Backend Services'!L4:L33,"Done")</f>
        <v/>
      </c>
      <c r="E5" s="41">
        <f>'Backend Services'!P35</f>
        <v/>
      </c>
      <c r="F5" s="41">
        <f>'Backend Services'!P36</f>
        <v/>
      </c>
      <c r="G5" s="42">
        <f>IF(E5=0,0,F5/E5)</f>
        <v/>
      </c>
    </row>
    <row r="6" ht="25.5" customHeight="1" s="28">
      <c r="B6" s="36" t="inlineStr">
        <is>
          <t>Microservices &amp; Integrations</t>
        </is>
      </c>
      <c r="C6" s="41">
        <f>COUNTA('Microservices &amp; Integrations'!B4:B28)</f>
        <v/>
      </c>
      <c r="D6" s="41">
        <f>COUNTIF('Microservices &amp; Integrations'!M4:M28,"Done")</f>
        <v/>
      </c>
      <c r="E6" s="41">
        <f>'Microservices &amp; Integrations'!Q30</f>
        <v/>
      </c>
      <c r="F6" s="41">
        <f>'Microservices &amp; Integrations'!Q31</f>
        <v/>
      </c>
      <c r="G6" s="42">
        <f>IF(E6=0,0,F6/E6)</f>
        <v/>
      </c>
    </row>
    <row r="8" ht="30" customHeight="1" s="28">
      <c r="B8" s="43" t="inlineStr">
        <is>
          <t>GRAND TOTAL</t>
        </is>
      </c>
      <c r="C8" s="44">
        <f>SUM(C4:C6)</f>
        <v/>
      </c>
      <c r="D8" s="44">
        <f>SUM(D4:D6)</f>
        <v/>
      </c>
      <c r="E8" s="44">
        <f>SUM(E4:E6)</f>
        <v/>
      </c>
      <c r="F8" s="44">
        <f>SUM(F4:F6)</f>
        <v/>
      </c>
      <c r="G8" s="45">
        <f>IF(E8=0,0,F8/E8)</f>
        <v/>
      </c>
    </row>
    <row r="10" ht="24" customHeight="1" s="28">
      <c r="A10" s="38" t="inlineStr">
        <is>
          <t>Calendar conversion</t>
        </is>
      </c>
    </row>
    <row r="11" ht="15" customHeight="1" s="28">
      <c r="B11" s="36" t="inlineStr">
        <is>
          <t>Buffer / contingency %</t>
        </is>
      </c>
      <c r="C11" s="46" t="n">
        <v>0.2</v>
      </c>
      <c r="D11" s="47" t="inlineStr">
        <is>
          <t>default 20% — edit to your taste</t>
        </is>
      </c>
    </row>
    <row r="12" ht="15" customHeight="1" s="28">
      <c r="B12" s="36" t="inlineStr">
        <is>
          <t>Productive days / week</t>
        </is>
      </c>
      <c r="C12" s="48" t="n">
        <v>4</v>
      </c>
      <c r="D12" s="47" t="inlineStr">
        <is>
          <t>meetings/email eat the rest</t>
        </is>
      </c>
    </row>
    <row r="14" ht="15" customHeight="1" s="28">
      <c r="B14" s="36" t="inlineStr">
        <is>
          <t>Remaining effort (days)</t>
        </is>
      </c>
      <c r="C14" s="41">
        <f>F8</f>
        <v/>
      </c>
    </row>
    <row r="15" ht="15" customHeight="1" s="28">
      <c r="B15" s="36" t="inlineStr">
        <is>
          <t>With buffer (days)</t>
        </is>
      </c>
      <c r="C15" s="49">
        <f>C14*(1+C11)</f>
        <v/>
      </c>
    </row>
    <row r="16" ht="15" customHeight="1" s="28">
      <c r="B16" s="50" t="inlineStr">
        <is>
          <t>Calendar weeks needed</t>
        </is>
      </c>
      <c r="C16" s="51">
        <f>IF(C12=0,0,C15/C12)</f>
        <v/>
      </c>
    </row>
    <row r="18" ht="15" customHeight="1" s="28">
      <c r="B18" s="52" t="inlineStr">
        <is>
          <t>Note: All numbers on this sheet are formulas pulling from the other tabs. Update the source sheets and these totals update automatically.</t>
        </is>
      </c>
    </row>
  </sheetData>
  <mergeCells count="3">
    <mergeCell ref="A1:F1"/>
    <mergeCell ref="B18:G18"/>
    <mergeCell ref="A10:F1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R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6" customWidth="1" style="27" min="1" max="1"/>
    <col width="22" customWidth="1" style="27" min="2" max="2"/>
    <col width="16" customWidth="1" style="27" min="3" max="3"/>
    <col width="28" customWidth="1" style="27" min="4" max="4"/>
    <col width="40" customWidth="1" style="27" min="5" max="5"/>
    <col width="26" customWidth="1" style="27" min="6" max="7"/>
    <col width="30" customWidth="1" style="27" min="8" max="9"/>
    <col width="10" customWidth="1" style="27" min="10" max="10"/>
    <col width="14" customWidth="1" style="27" min="11" max="11"/>
    <col width="12" customWidth="1" style="27" min="12" max="12"/>
    <col width="14" customWidth="1" style="27" min="13" max="13"/>
    <col width="16" customWidth="1" style="27" min="14" max="14"/>
    <col width="14" customWidth="1" style="27" min="15" max="15"/>
    <col width="24" customWidth="1" style="27" min="16" max="16"/>
    <col width="28" customWidth="1" style="27" min="17" max="18"/>
  </cols>
  <sheetData>
    <row r="1" ht="31.5" customHeight="1" s="28">
      <c r="A1" s="29" t="inlineStr">
        <is>
          <t>Screens — UI Inventory</t>
        </is>
      </c>
    </row>
    <row r="2" ht="7.5" customHeight="1" s="28"/>
    <row r="3" ht="31.5" customHeight="1" s="28">
      <c r="A3" s="40" t="inlineStr">
        <is>
          <t>ID</t>
        </is>
      </c>
      <c r="B3" s="40" t="inlineStr">
        <is>
          <t>Screen Name</t>
        </is>
      </c>
      <c r="C3" s="40" t="inlineStr">
        <is>
          <t>User / Role</t>
        </is>
      </c>
      <c r="D3" s="40" t="inlineStr">
        <is>
          <t>Purpose</t>
        </is>
      </c>
      <c r="E3" s="40" t="inlineStr">
        <is>
          <t>Key Functionality (bullets)</t>
        </is>
      </c>
      <c r="F3" s="40" t="inlineStr">
        <is>
          <t>Inputs / Data shown</t>
        </is>
      </c>
      <c r="G3" s="40" t="inlineStr">
        <is>
          <t>Backend services it calls</t>
        </is>
      </c>
      <c r="H3" s="40" t="inlineStr">
        <is>
          <t>Current State</t>
        </is>
      </c>
      <c r="I3" s="40" t="inlineStr">
        <is>
          <t>Target State for Demo</t>
        </is>
      </c>
      <c r="J3" s="40" t="inlineStr">
        <is>
          <t>Priority</t>
        </is>
      </c>
      <c r="K3" s="40" t="inlineStr">
        <is>
          <t>Status</t>
        </is>
      </c>
      <c r="L3" s="40" t="inlineStr">
        <is>
          <t>Complexity</t>
        </is>
      </c>
      <c r="M3" s="40" t="inlineStr">
        <is>
          <t>Estimated Days</t>
        </is>
      </c>
      <c r="N3" s="40" t="inlineStr">
        <is>
          <t>Manual Override (Days)</t>
        </is>
      </c>
      <c r="O3" s="40" t="inlineStr">
        <is>
          <t>Effective Days</t>
        </is>
      </c>
      <c r="P3" s="40" t="inlineStr">
        <is>
          <t>Dependencies</t>
        </is>
      </c>
      <c r="Q3" s="40" t="inlineStr">
        <is>
          <t>Risks / Open Questions</t>
        </is>
      </c>
      <c r="R3" s="40" t="inlineStr">
        <is>
          <t>Notes</t>
        </is>
      </c>
    </row>
    <row r="4" ht="48" customHeight="1" s="28">
      <c r="A4" s="41" t="inlineStr">
        <is>
          <t>S001</t>
        </is>
      </c>
      <c r="B4" s="37" t="inlineStr">
        <is>
          <t>SplashView</t>
        </is>
      </c>
      <c r="C4" s="37" t="inlineStr">
        <is>
          <t>All</t>
        </is>
      </c>
      <c r="D4" s="37" t="inlineStr">
        <is>
          <t>Cold-start splash + auth-routing decision</t>
        </is>
      </c>
      <c r="E4" s="37" t="inlineStr">
        <is>
          <t>Logo reveal / auth check / route to login or main tab</t>
        </is>
      </c>
      <c r="F4" s="37" t="inlineStr">
        <is>
          <t>AuthState from Keychain</t>
        </is>
      </c>
      <c r="G4" s="37" t="inlineStr">
        <is>
          <t>B001 Auth</t>
        </is>
      </c>
      <c r="H4" s="37" t="inlineStr">
        <is>
          <t>Built</t>
        </is>
      </c>
      <c r="I4" s="37" t="inlineStr">
        <is>
          <t>Built — no demo change</t>
        </is>
      </c>
      <c r="J4" s="37" t="inlineStr">
        <is>
          <t>P2</t>
        </is>
      </c>
      <c r="K4" s="37" t="inlineStr">
        <is>
          <t>Done</t>
        </is>
      </c>
      <c r="L4" s="37" t="inlineStr">
        <is>
          <t>S</t>
        </is>
      </c>
      <c r="M4" s="41">
        <f>IF(L4="S",1,IF(L4="M",3,IF(L4="L",8,IF(L4="XL",15,0))))</f>
        <v/>
      </c>
      <c r="N4" s="48" t="n"/>
      <c r="O4" s="41">
        <f>IF(ISNUMBER(N4),N4,IF(ISNUMBER(M4),M4,0))</f>
        <v/>
      </c>
      <c r="P4" s="37" t="inlineStr">
        <is>
          <t>—</t>
        </is>
      </c>
      <c r="Q4" s="37" t="inlineStr">
        <is>
          <t>—</t>
        </is>
      </c>
      <c r="R4" s="37" t="inlineStr">
        <is>
          <t>Animation polish only.</t>
        </is>
      </c>
    </row>
    <row r="5" ht="48" customHeight="1" s="28">
      <c r="A5" s="41" t="inlineStr">
        <is>
          <t>S002</t>
        </is>
      </c>
      <c r="B5" s="37" t="inlineStr">
        <is>
          <t>AuthView + LoginView + RegisterView</t>
        </is>
      </c>
      <c r="C5" s="37" t="inlineStr">
        <is>
          <t>Clinician</t>
        </is>
      </c>
      <c r="D5" s="37" t="inlineStr">
        <is>
          <t>Sign-in / sign-up gate, JWT obtain</t>
        </is>
      </c>
      <c r="E5" s="37" t="inlineStr">
        <is>
          <t>Email+password / register / forgot-flow stub</t>
        </is>
      </c>
      <c r="F5" s="37" t="inlineStr">
        <is>
          <t>Email, password</t>
        </is>
      </c>
      <c r="G5" s="37" t="inlineStr">
        <is>
          <t>B001 Auth</t>
        </is>
      </c>
      <c r="H5" s="37" t="inlineStr">
        <is>
          <t>Built</t>
        </is>
      </c>
      <c r="I5" s="37" t="inlineStr">
        <is>
          <t>Built</t>
        </is>
      </c>
      <c r="J5" s="37" t="inlineStr">
        <is>
          <t>P0</t>
        </is>
      </c>
      <c r="K5" s="37" t="inlineStr">
        <is>
          <t>Done</t>
        </is>
      </c>
      <c r="L5" s="37" t="inlineStr">
        <is>
          <t>M</t>
        </is>
      </c>
      <c r="M5" s="41">
        <f>IF(L5="S",1,IF(L5="M",3,IF(L5="L",8,IF(L5="XL",15,0))))</f>
        <v/>
      </c>
      <c r="N5" s="48" t="n"/>
      <c r="O5" s="41">
        <f>IF(ISNUMBER(N5),N5,IF(ISNUMBER(M5),M5,0))</f>
        <v/>
      </c>
      <c r="P5" s="37" t="inlineStr">
        <is>
          <t>B001</t>
        </is>
      </c>
      <c r="Q5" s="37" t="inlineStr">
        <is>
          <t>—</t>
        </is>
      </c>
      <c r="R5" s="37" t="inlineStr">
        <is>
          <t>Cognito JWKS validation server-side.</t>
        </is>
      </c>
    </row>
    <row r="6" ht="48" customHeight="1" s="28">
      <c r="A6" s="41" t="inlineStr">
        <is>
          <t>S003</t>
        </is>
      </c>
      <c r="B6" s="37" t="inlineStr">
        <is>
          <t>BiometricConsentView</t>
        </is>
      </c>
      <c r="C6" s="37" t="inlineStr">
        <is>
          <t>Clinician (onboarding)</t>
        </is>
      </c>
      <c r="D6" s="37" t="inlineStr">
        <is>
          <t>Explicit consent for voice biometric enrollment</t>
        </is>
      </c>
      <c r="E6" s="37" t="inlineStr">
        <is>
          <t>Show policy / require explicit accept / log audit</t>
        </is>
      </c>
      <c r="F6" s="37" t="inlineStr">
        <is>
          <t>Toggle + consent text</t>
        </is>
      </c>
      <c r="G6" s="37" t="inlineStr">
        <is>
          <t>—</t>
        </is>
      </c>
      <c r="H6" s="37" t="inlineStr">
        <is>
          <t>Built</t>
        </is>
      </c>
      <c r="I6" s="37" t="inlineStr">
        <is>
          <t>Built</t>
        </is>
      </c>
      <c r="J6" s="37" t="inlineStr">
        <is>
          <t>P0</t>
        </is>
      </c>
      <c r="K6" s="37" t="inlineStr">
        <is>
          <t>Done</t>
        </is>
      </c>
      <c r="L6" s="37" t="inlineStr">
        <is>
          <t>S</t>
        </is>
      </c>
      <c r="M6" s="41">
        <f>IF(L6="S",1,IF(L6="M",3,IF(L6="L",8,IF(L6="XL",15,0))))</f>
        <v/>
      </c>
      <c r="N6" s="48" t="n"/>
      <c r="O6" s="41">
        <f>IF(ISNUMBER(N6),N6,IF(ISNUMBER(M6),M6,0))</f>
        <v/>
      </c>
      <c r="P6" s="37" t="inlineStr">
        <is>
          <t>—</t>
        </is>
      </c>
      <c r="Q6" s="37" t="inlineStr">
        <is>
          <t>—</t>
        </is>
      </c>
      <c r="R6" s="37" t="inlineStr">
        <is>
          <t>biometric_consent_confirmed audit event.</t>
        </is>
      </c>
    </row>
    <row r="7" ht="48" customHeight="1" s="28">
      <c r="A7" s="41" t="inlineStr">
        <is>
          <t>S004</t>
        </is>
      </c>
      <c r="B7" s="37" t="inlineStr">
        <is>
          <t>VoiceExplanationView</t>
        </is>
      </c>
      <c r="C7" s="37" t="inlineStr">
        <is>
          <t>Clinician (onboarding)</t>
        </is>
      </c>
      <c r="D7" s="37" t="inlineStr">
        <is>
          <t>Explain voice enrollment purpose pre-recording</t>
        </is>
      </c>
      <c r="E7" s="37" t="inlineStr">
        <is>
          <t>Static explanatory copy + Continue CTA</t>
        </is>
      </c>
      <c r="F7" s="37" t="inlineStr">
        <is>
          <t>—</t>
        </is>
      </c>
      <c r="G7" s="37" t="inlineStr">
        <is>
          <t>—</t>
        </is>
      </c>
      <c r="H7" s="37" t="inlineStr">
        <is>
          <t>Built</t>
        </is>
      </c>
      <c r="I7" s="37" t="inlineStr">
        <is>
          <t>Built</t>
        </is>
      </c>
      <c r="J7" s="37" t="inlineStr">
        <is>
          <t>P1</t>
        </is>
      </c>
      <c r="K7" s="37" t="inlineStr">
        <is>
          <t>Done</t>
        </is>
      </c>
      <c r="L7" s="37" t="inlineStr">
        <is>
          <t>S</t>
        </is>
      </c>
      <c r="M7" s="41">
        <f>IF(L7="S",1,IF(L7="M",3,IF(L7="L",8,IF(L7="XL",15,0))))</f>
        <v/>
      </c>
      <c r="N7" s="48" t="n"/>
      <c r="O7" s="41">
        <f>IF(ISNUMBER(N7),N7,IF(ISNUMBER(M7),M7,0))</f>
        <v/>
      </c>
      <c r="P7" s="37" t="inlineStr">
        <is>
          <t>—</t>
        </is>
      </c>
      <c r="Q7" s="37" t="inlineStr">
        <is>
          <t>—</t>
        </is>
      </c>
      <c r="R7" s="37" t="inlineStr">
        <is>
          <t>—</t>
        </is>
      </c>
    </row>
    <row r="8" ht="48" customHeight="1" s="28">
      <c r="A8" s="41" t="inlineStr">
        <is>
          <t>S005</t>
        </is>
      </c>
      <c r="B8" s="37" t="inlineStr">
        <is>
          <t>VoiceRecordingView</t>
        </is>
      </c>
      <c r="C8" s="37" t="inlineStr">
        <is>
          <t>Clinician (onboarding)</t>
        </is>
      </c>
      <c r="D8" s="37" t="inlineStr">
        <is>
          <t>Capture 4 enrollment sentences for speaker tagging</t>
        </is>
      </c>
      <c r="E8" s="37" t="inlineStr">
        <is>
          <t>4 prompts / waveform / re-record / silent detection</t>
        </is>
      </c>
      <c r="F8" s="37" t="inlineStr">
        <is>
          <t>Microphone PCM</t>
        </is>
      </c>
      <c r="G8" s="37" t="inlineStr">
        <is>
          <t>—</t>
        </is>
      </c>
      <c r="H8" s="37" t="inlineStr">
        <is>
          <t>Built (M-01 reconciled embedding dims)</t>
        </is>
      </c>
      <c r="I8" s="37" t="inlineStr">
        <is>
          <t>Built</t>
        </is>
      </c>
      <c r="J8" s="37" t="inlineStr">
        <is>
          <t>P0</t>
        </is>
      </c>
      <c r="K8" s="37" t="inlineStr">
        <is>
          <t>Done</t>
        </is>
      </c>
      <c r="L8" s="37" t="inlineStr">
        <is>
          <t>L</t>
        </is>
      </c>
      <c r="M8" s="41">
        <f>IF(L8="S",1,IF(L8="M",3,IF(L8="L",8,IF(L8="XL",15,0))))</f>
        <v/>
      </c>
      <c r="N8" s="48" t="n"/>
      <c r="O8" s="41">
        <f>IF(ISNUMBER(N8),N8,IF(ISNUMBER(M8),M8,0))</f>
        <v/>
      </c>
      <c r="P8" s="37" t="inlineStr">
        <is>
          <t>S005</t>
        </is>
      </c>
      <c r="Q8" s="37" t="inlineStr">
        <is>
          <t>—</t>
        </is>
      </c>
      <c r="R8" s="37" t="inlineStr">
        <is>
          <t>Raw audio deleted immediately after embedding compute.</t>
        </is>
      </c>
    </row>
    <row r="9" ht="48" customHeight="1" s="28">
      <c r="A9" s="41" t="inlineStr">
        <is>
          <t>S006</t>
        </is>
      </c>
      <c r="B9" s="37" t="inlineStr">
        <is>
          <t>VoiceProcessingView</t>
        </is>
      </c>
      <c r="C9" s="37" t="inlineStr">
        <is>
          <t>Clinician (onboarding)</t>
        </is>
      </c>
      <c r="D9" s="37" t="inlineStr">
        <is>
          <t>Compute 128-dim MFCC embedding + persist to Keychain</t>
        </is>
      </c>
      <c r="E9" s="37" t="inlineStr">
        <is>
          <t>Progress ring / extract embedding / Keychain write / audit</t>
        </is>
      </c>
      <c r="F9" s="37" t="inlineStr">
        <is>
          <t>Recorded WAV from S005</t>
        </is>
      </c>
      <c r="G9" s="37" t="inlineStr">
        <is>
          <t>—</t>
        </is>
      </c>
      <c r="H9" s="37" t="inlineStr">
        <is>
          <t>Built</t>
        </is>
      </c>
      <c r="I9" s="37" t="inlineStr">
        <is>
          <t>Built</t>
        </is>
      </c>
      <c r="J9" s="37" t="inlineStr">
        <is>
          <t>P0</t>
        </is>
      </c>
      <c r="K9" s="37" t="inlineStr">
        <is>
          <t>Done</t>
        </is>
      </c>
      <c r="L9" s="37" t="inlineStr">
        <is>
          <t>M</t>
        </is>
      </c>
      <c r="M9" s="41">
        <f>IF(L9="S",1,IF(L9="M",3,IF(L9="L",8,IF(L9="XL",15,0))))</f>
        <v/>
      </c>
      <c r="N9" s="48" t="n"/>
      <c r="O9" s="41">
        <f>IF(ISNUMBER(N9),N9,IF(ISNUMBER(M9),M9,0))</f>
        <v/>
      </c>
      <c r="P9" s="37" t="inlineStr">
        <is>
          <t>S005</t>
        </is>
      </c>
      <c r="Q9" s="37" t="inlineStr">
        <is>
          <t>—</t>
        </is>
      </c>
      <c r="R9" s="37" t="inlineStr">
        <is>
          <t>Embedding never transmitted to backend.</t>
        </is>
      </c>
    </row>
    <row r="10" ht="48" customHeight="1" s="28">
      <c r="A10" s="41" t="inlineStr">
        <is>
          <t>S007</t>
        </is>
      </c>
      <c r="B10" s="37" t="inlineStr">
        <is>
          <t>WearableSetupView</t>
        </is>
      </c>
      <c r="C10" s="37" t="inlineStr">
        <is>
          <t>Clinician (onboarding)</t>
        </is>
      </c>
      <c r="D10" s="37" t="inlineStr">
        <is>
          <t>Optional Ray-Ban Meta pairing + iPhone fallback</t>
        </is>
      </c>
      <c r="E10" s="37" t="inlineStr">
        <is>
          <t>BLE scan UI / paired devices / fallback explainer</t>
        </is>
      </c>
      <c r="F10" s="37" t="inlineStr">
        <is>
          <t>BLE state</t>
        </is>
      </c>
      <c r="G10" s="37" t="inlineStr">
        <is>
          <t>—</t>
        </is>
      </c>
      <c r="H10" s="37" t="inlineStr">
        <is>
          <t>Stubbed (M-03 deferred)</t>
        </is>
      </c>
      <c r="I10" s="37" t="inlineStr">
        <is>
          <t>Show iPhone-fallback explainer; pairing UI hidden behind dev flag</t>
        </is>
      </c>
      <c r="J10" s="37" t="inlineStr">
        <is>
          <t>P2</t>
        </is>
      </c>
      <c r="K10" s="37" t="inlineStr">
        <is>
          <t>Done</t>
        </is>
      </c>
      <c r="L10" s="37" t="inlineStr">
        <is>
          <t>M</t>
        </is>
      </c>
      <c r="M10" s="41">
        <f>IF(L10="S",1,IF(L10="M",3,IF(L10="L",8,IF(L10="XL",15,0))))</f>
        <v/>
      </c>
      <c r="N10" s="48" t="n"/>
      <c r="O10" s="41">
        <f>IF(ISNUMBER(N10),N10,IF(ISNUMBER(M10),M10,0))</f>
        <v/>
      </c>
      <c r="P10" s="37" t="inlineStr">
        <is>
          <t>M019 Meta SDK</t>
        </is>
      </c>
      <c r="Q10" s="37" t="inlineStr">
        <is>
          <t>Meta SDK access pending partner approval</t>
        </is>
      </c>
      <c r="R10" s="37" t="inlineStr">
        <is>
          <t>iPhone/iPad path is the pilot scope.</t>
        </is>
      </c>
    </row>
    <row r="11" ht="48" customHeight="1" s="28">
      <c r="A11" s="41" t="inlineStr">
        <is>
          <t>S008</t>
        </is>
      </c>
      <c r="B11" s="37" t="inlineStr">
        <is>
          <t>OnboardingFlowView</t>
        </is>
      </c>
      <c r="C11" s="37" t="inlineStr">
        <is>
          <t>Clinician</t>
        </is>
      </c>
      <c r="D11" s="37" t="inlineStr">
        <is>
          <t>Orchestrates the 6-step onboarding stepper</t>
        </is>
      </c>
      <c r="E11" s="37" t="inlineStr">
        <is>
          <t>Step state machine / progress dots / back nav / skip</t>
        </is>
      </c>
      <c r="F11" s="37" t="inlineStr">
        <is>
          <t>Stepper state</t>
        </is>
      </c>
      <c r="G11" s="37" t="inlineStr">
        <is>
          <t>—</t>
        </is>
      </c>
      <c r="H11" s="37" t="inlineStr">
        <is>
          <t>Built</t>
        </is>
      </c>
      <c r="I11" s="37" t="inlineStr">
        <is>
          <t>Built</t>
        </is>
      </c>
      <c r="J11" s="37" t="inlineStr">
        <is>
          <t>P0</t>
        </is>
      </c>
      <c r="K11" s="37" t="inlineStr">
        <is>
          <t>Done</t>
        </is>
      </c>
      <c r="L11" s="37" t="inlineStr">
        <is>
          <t>M</t>
        </is>
      </c>
      <c r="M11" s="41">
        <f>IF(L11="S",1,IF(L11="M",3,IF(L11="L",8,IF(L11="XL",15,0))))</f>
        <v/>
      </c>
      <c r="N11" s="48" t="n"/>
      <c r="O11" s="41">
        <f>IF(ISNUMBER(N11),N11,IF(ISNUMBER(M11),M11,0))</f>
        <v/>
      </c>
      <c r="P11" s="37" t="inlineStr">
        <is>
          <t>S003–S007</t>
        </is>
      </c>
      <c r="Q11" s="37" t="inlineStr">
        <is>
          <t>—</t>
        </is>
      </c>
      <c r="R11" s="37" t="inlineStr">
        <is>
          <t>—</t>
        </is>
      </c>
    </row>
    <row r="12" ht="48" customHeight="1" s="28">
      <c r="A12" s="41" t="inlineStr">
        <is>
          <t>S009</t>
        </is>
      </c>
      <c r="B12" s="37" t="inlineStr">
        <is>
          <t>PhysicianProfileSetupView</t>
        </is>
      </c>
      <c r="C12" s="37" t="inlineStr">
        <is>
          <t>Clinician (onboarding)</t>
        </is>
      </c>
      <c r="D12" s="37" t="inlineStr">
        <is>
          <t>Capture practice type, primary specialty, consent prefs</t>
        </is>
      </c>
      <c r="E12" s="37" t="inlineStr">
        <is>
          <t>Form: practice type / specialty / language / defaults</t>
        </is>
      </c>
      <c r="F12" s="37" t="inlineStr">
        <is>
          <t>Profile fields</t>
        </is>
      </c>
      <c r="G12" s="37" t="inlineStr">
        <is>
          <t>B002 Profile</t>
        </is>
      </c>
      <c r="H12" s="37" t="inlineStr">
        <is>
          <t>Built</t>
        </is>
      </c>
      <c r="I12" s="37" t="inlineStr">
        <is>
          <t>Built; iPad-adaptive padding added M-13</t>
        </is>
      </c>
      <c r="J12" s="37" t="inlineStr">
        <is>
          <t>P0</t>
        </is>
      </c>
      <c r="K12" s="37" t="inlineStr">
        <is>
          <t>Done</t>
        </is>
      </c>
      <c r="L12" s="37" t="inlineStr">
        <is>
          <t>M</t>
        </is>
      </c>
      <c r="M12" s="41">
        <f>IF(L12="S",1,IF(L12="M",3,IF(L12="L",8,IF(L12="XL",15,0))))</f>
        <v/>
      </c>
      <c r="N12" s="48" t="n"/>
      <c r="O12" s="41">
        <f>IF(ISNUMBER(N12),N12,IF(ISNUMBER(M12),M12,0))</f>
        <v/>
      </c>
      <c r="P12" s="37" t="inlineStr">
        <is>
          <t>B002</t>
        </is>
      </c>
      <c r="Q12" s="37" t="inlineStr">
        <is>
          <t>—</t>
        </is>
      </c>
      <c r="R12" s="37" t="inlineStr">
        <is>
          <t>—</t>
        </is>
      </c>
    </row>
    <row r="13" ht="48" customHeight="1" s="28">
      <c r="A13" s="41" t="inlineStr">
        <is>
          <t>S010</t>
        </is>
      </c>
      <c r="B13" s="37" t="inlineStr">
        <is>
          <t>MainTabView</t>
        </is>
      </c>
      <c r="C13" s="37" t="inlineStr">
        <is>
          <t>Clinician</t>
        </is>
      </c>
      <c r="D13" s="37" t="inlineStr">
        <is>
          <t>Tab shell: Dashboard / Devices / Profile</t>
        </is>
      </c>
      <c r="E13" s="37" t="inlineStr">
        <is>
          <t>Tab bar / route preservation / badge on pending sessions</t>
        </is>
      </c>
      <c r="F13" s="37" t="inlineStr">
        <is>
          <t>—</t>
        </is>
      </c>
      <c r="G13" s="37" t="inlineStr">
        <is>
          <t>—</t>
        </is>
      </c>
      <c r="H13" s="37" t="inlineStr">
        <is>
          <t>Built</t>
        </is>
      </c>
      <c r="I13" s="37" t="inlineStr">
        <is>
          <t>Built</t>
        </is>
      </c>
      <c r="J13" s="37" t="inlineStr">
        <is>
          <t>P0</t>
        </is>
      </c>
      <c r="K13" s="37" t="inlineStr">
        <is>
          <t>Done</t>
        </is>
      </c>
      <c r="L13" s="37" t="inlineStr">
        <is>
          <t>S</t>
        </is>
      </c>
      <c r="M13" s="41">
        <f>IF(L13="S",1,IF(L13="M",3,IF(L13="L",8,IF(L13="XL",15,0))))</f>
        <v/>
      </c>
      <c r="N13" s="48" t="n"/>
      <c r="O13" s="41">
        <f>IF(ISNUMBER(N13),N13,IF(ISNUMBER(M13),M13,0))</f>
        <v/>
      </c>
      <c r="P13" s="37" t="inlineStr">
        <is>
          <t>S011, S013, S017</t>
        </is>
      </c>
      <c r="Q13" s="37" t="inlineStr">
        <is>
          <t>—</t>
        </is>
      </c>
      <c r="R13" s="37" t="inlineStr">
        <is>
          <t>—</t>
        </is>
      </c>
    </row>
    <row r="14" ht="48" customHeight="1" s="28">
      <c r="A14" s="41" t="inlineStr">
        <is>
          <t>S011</t>
        </is>
      </c>
      <c r="B14" s="37" t="inlineStr">
        <is>
          <t>DashboardView</t>
        </is>
      </c>
      <c r="C14" s="37" t="inlineStr">
        <is>
          <t>Clinician</t>
        </is>
      </c>
      <c r="D14" s="37" t="inlineStr">
        <is>
          <t>Home — start session, recent sessions, Stage 2 status tiles</t>
        </is>
      </c>
      <c r="E14" s="37" t="inlineStr">
        <is>
          <t>Start session CTA / mode picker / recent sessions list / continue-recording card / processing tiles</t>
        </is>
      </c>
      <c r="F14" s="37" t="inlineStr">
        <is>
          <t>Session list + active session</t>
        </is>
      </c>
      <c r="G14" s="37" t="inlineStr">
        <is>
          <t>B006 Sessions, B010 Notes (stage2-status)</t>
        </is>
      </c>
      <c r="H14" s="37" t="inlineStr">
        <is>
          <t>Built</t>
        </is>
      </c>
      <c r="I14" s="37" t="inlineStr">
        <is>
          <t>Add Stage 2 pending tile from polling endpoint (M-07 surface; partial — currently in NoteReviewView only)</t>
        </is>
      </c>
      <c r="J14" s="37" t="inlineStr">
        <is>
          <t>P0</t>
        </is>
      </c>
      <c r="K14" s="37" t="inlineStr">
        <is>
          <t>Done</t>
        </is>
      </c>
      <c r="L14" s="37" t="inlineStr">
        <is>
          <t>M</t>
        </is>
      </c>
      <c r="M14" s="41">
        <f>IF(L14="S",1,IF(L14="M",3,IF(L14="L",8,IF(L14="XL",15,0))))</f>
        <v/>
      </c>
      <c r="N14" s="48" t="n"/>
      <c r="O14" s="41">
        <f>IF(ISNUMBER(N14),N14,IF(ISNUMBER(M14),M14,0))</f>
        <v/>
      </c>
      <c r="P14" s="37" t="inlineStr">
        <is>
          <t>B006, B010, M021</t>
        </is>
      </c>
      <c r="Q14" s="37" t="inlineStr">
        <is>
          <t>Stage 2 pending UI on Dashboard not yet built (deferred to post-pilot polish).</t>
        </is>
      </c>
      <c r="R14" s="37" t="inlineStr">
        <is>
          <t>iPad-adaptive padding M-13.</t>
        </is>
      </c>
    </row>
    <row r="15" ht="48" customHeight="1" s="28">
      <c r="A15" s="41" t="inlineStr">
        <is>
          <t>S012</t>
        </is>
      </c>
      <c r="B15" s="37" t="inlineStr">
        <is>
          <t>CaptureView</t>
        </is>
      </c>
      <c r="C15" s="37" t="inlineStr">
        <is>
          <t>Clinician</t>
        </is>
      </c>
      <c r="D15" s="37" t="inlineStr">
        <is>
          <t>Pre-encounter consent gate + record / pause / resume / stop, three streams</t>
        </is>
      </c>
      <c r="E15" s="37" t="inlineStr">
        <is>
          <t>Consent picker (verbal/paper/digital) / record CTA / mode chips / live waveform / live caption / pause+resume / stop</t>
        </is>
      </c>
      <c r="F15" s="37" t="inlineStr">
        <is>
          <t>Mic, camera, screen frames</t>
        </is>
      </c>
      <c r="G15" s="37" t="inlineStr">
        <is>
          <t>B006 Sessions, B007 Transcription, B008 Frames, B009 Screen</t>
        </is>
      </c>
      <c r="H15" s="37" t="inlineStr">
        <is>
          <t>Built (M-02/M-05/M-06 done)</t>
        </is>
      </c>
      <c r="I15" s="37" t="inlineStr">
        <is>
          <t>Built</t>
        </is>
      </c>
      <c r="J15" s="37" t="inlineStr">
        <is>
          <t>P0</t>
        </is>
      </c>
      <c r="K15" s="37" t="inlineStr">
        <is>
          <t>Done</t>
        </is>
      </c>
      <c r="L15" s="37" t="inlineStr">
        <is>
          <t>XL</t>
        </is>
      </c>
      <c r="M15" s="41">
        <f>IF(L15="S",1,IF(L15="M",3,IF(L15="L",8,IF(L15="XL",15,0))))</f>
        <v/>
      </c>
      <c r="N15" s="48" t="n"/>
      <c r="O15" s="41">
        <f>IF(ISNUMBER(N15),N15,IF(ISNUMBER(M15),M15,0))</f>
        <v/>
      </c>
      <c r="P15" s="37" t="inlineStr">
        <is>
          <t>S007 Devices, M015 Apple Vision, M016 AVFoundation, M017 ReplayKit</t>
        </is>
      </c>
      <c r="Q15" s="37" t="inlineStr">
        <is>
          <t>Permission denial path needs visual QA on iPad.</t>
        </is>
      </c>
      <c r="R15" s="37" t="inlineStr">
        <is>
          <t>Hard-blocks record until consent_confirmed audit event written.</t>
        </is>
      </c>
    </row>
    <row r="16" ht="48" customHeight="1" s="28">
      <c r="A16" s="41" t="inlineStr">
        <is>
          <t>S013</t>
        </is>
      </c>
      <c r="B16" s="37" t="inlineStr">
        <is>
          <t>DeviceHubView</t>
        </is>
      </c>
      <c r="C16" s="37" t="inlineStr">
        <is>
          <t>Clinician</t>
        </is>
      </c>
      <c r="D16" s="37" t="inlineStr">
        <is>
          <t>Inspect mic/camera/screen permissions + BLE devices + diagnostics</t>
        </is>
      </c>
      <c r="E16" s="37" t="inlineStr">
        <is>
          <t>Sources list / permissions grid / pairing actions / test-frame</t>
        </is>
      </c>
      <c r="F16" s="37" t="inlineStr">
        <is>
          <t>Permission state</t>
        </is>
      </c>
      <c r="G16" s="37" t="inlineStr">
        <is>
          <t>—</t>
        </is>
      </c>
      <c r="H16" s="37" t="inlineStr">
        <is>
          <t>Built</t>
        </is>
      </c>
      <c r="I16" s="37" t="inlineStr">
        <is>
          <t>Built; iPad-adaptive M-13</t>
        </is>
      </c>
      <c r="J16" s="37" t="inlineStr">
        <is>
          <t>P1</t>
        </is>
      </c>
      <c r="K16" s="37" t="inlineStr">
        <is>
          <t>Done</t>
        </is>
      </c>
      <c r="L16" s="37" t="inlineStr">
        <is>
          <t>M</t>
        </is>
      </c>
      <c r="M16" s="41">
        <f>IF(L16="S",1,IF(L16="M",3,IF(L16="L",8,IF(L16="XL",15,0))))</f>
        <v/>
      </c>
      <c r="N16" s="48" t="n"/>
      <c r="O16" s="41">
        <f>IF(ISNUMBER(N16),N16,IF(ISNUMBER(M16),M16,0))</f>
        <v/>
      </c>
      <c r="P16" s="37" t="inlineStr">
        <is>
          <t>M020 BLE</t>
        </is>
      </c>
      <c r="Q16" s="37" t="inlineStr">
        <is>
          <t>—</t>
        </is>
      </c>
      <c r="R16" s="37" t="inlineStr">
        <is>
          <t>—</t>
        </is>
      </c>
    </row>
    <row r="17" ht="48" customHeight="1" s="28">
      <c r="A17" s="41" t="inlineStr">
        <is>
          <t>S014</t>
        </is>
      </c>
      <c r="B17" s="37" t="inlineStr">
        <is>
          <t>PostEncounterView</t>
        </is>
      </c>
      <c r="C17" s="37" t="inlineStr">
        <is>
          <t>Clinician</t>
        </is>
      </c>
      <c r="D17" s="37" t="inlineStr">
        <is>
          <t>Confirm specialty template + encounter type before pipeline kicks off</t>
        </is>
      </c>
      <c r="E17" s="37" t="inlineStr">
        <is>
          <t>Template picker / encounter type chips / Generate CTA</t>
        </is>
      </c>
      <c r="F17" s="37" t="inlineStr">
        <is>
          <t>Specialty, encounter type, allied health</t>
        </is>
      </c>
      <c r="G17" s="37" t="inlineStr">
        <is>
          <t>B010 Notes</t>
        </is>
      </c>
      <c r="H17" s="37" t="inlineStr">
        <is>
          <t>Built</t>
        </is>
      </c>
      <c r="I17" s="37" t="inlineStr">
        <is>
          <t>Built</t>
        </is>
      </c>
      <c r="J17" s="37" t="inlineStr">
        <is>
          <t>P0</t>
        </is>
      </c>
      <c r="K17" s="37" t="inlineStr">
        <is>
          <t>Done</t>
        </is>
      </c>
      <c r="L17" s="37" t="inlineStr">
        <is>
          <t>M</t>
        </is>
      </c>
      <c r="M17" s="41">
        <f>IF(L17="S",1,IF(L17="M",3,IF(L17="L",8,IF(L17="XL",15,0))))</f>
        <v/>
      </c>
      <c r="N17" s="48" t="n"/>
      <c r="O17" s="41">
        <f>IF(ISNUMBER(N17),N17,IF(ISNUMBER(M17),M17,0))</f>
        <v/>
      </c>
      <c r="P17" s="37" t="inlineStr">
        <is>
          <t>B010</t>
        </is>
      </c>
      <c r="Q17" s="37" t="inlineStr">
        <is>
          <t>—</t>
        </is>
      </c>
      <c r="R17" s="37" t="inlineStr">
        <is>
          <t>—</t>
        </is>
      </c>
    </row>
    <row r="18" ht="48" customHeight="1" s="28">
      <c r="A18" s="41" t="inlineStr">
        <is>
          <t>S015</t>
        </is>
      </c>
      <c r="B18" s="37" t="inlineStr">
        <is>
          <t>ProcessingView (inside ContentView)</t>
        </is>
      </c>
      <c r="C18" s="37" t="inlineStr">
        <is>
          <t>Clinician</t>
        </is>
      </c>
      <c r="D18" s="37" t="inlineStr">
        <is>
          <t>Stage 1 in-flight + retry surface + masking-failure prompt</t>
        </is>
      </c>
      <c r="E18" s="37" t="inlineStr">
        <is>
          <t>Spinner / status text / Stage 1 retry / masking retry+skip / 30 s timeout</t>
        </is>
      </c>
      <c r="F18" s="37" t="inlineStr">
        <is>
          <t>Stage1Status, masked-frame failures</t>
        </is>
      </c>
      <c r="G18" s="37" t="inlineStr">
        <is>
          <t>B007 Transcription, B010 Notes</t>
        </is>
      </c>
      <c r="H18" s="37" t="inlineStr">
        <is>
          <t>Built (M-06 SLA + retry)</t>
        </is>
      </c>
      <c r="I18" s="37" t="inlineStr">
        <is>
          <t>Built</t>
        </is>
      </c>
      <c r="J18" s="37" t="inlineStr">
        <is>
          <t>P0</t>
        </is>
      </c>
      <c r="K18" s="37" t="inlineStr">
        <is>
          <t>Done</t>
        </is>
      </c>
      <c r="L18" s="37" t="inlineStr">
        <is>
          <t>L</t>
        </is>
      </c>
      <c r="M18" s="41">
        <f>IF(L18="S",1,IF(L18="M",3,IF(L18="L",8,IF(L18="XL",15,0))))</f>
        <v/>
      </c>
      <c r="N18" s="48" t="n"/>
      <c r="O18" s="41">
        <f>IF(ISNUMBER(N18),N18,IF(ISNUMBER(M18),M18,0))</f>
        <v/>
      </c>
      <c r="P18" s="37" t="inlineStr">
        <is>
          <t>B007, B010</t>
        </is>
      </c>
      <c r="Q18" s="37" t="inlineStr">
        <is>
          <t>—</t>
        </is>
      </c>
      <c r="R18" s="37" t="inlineStr">
        <is>
          <t>Tracks record-stop → note-ready latency for pilot metrics.</t>
        </is>
      </c>
    </row>
    <row r="19" ht="48" customHeight="1" s="28">
      <c r="A19" s="41" t="inlineStr">
        <is>
          <t>S016</t>
        </is>
      </c>
      <c r="B19" s="37" t="inlineStr">
        <is>
          <t>NoteReviewView</t>
        </is>
      </c>
      <c r="C19" s="37" t="inlineStr">
        <is>
          <t>Clinician</t>
        </is>
      </c>
      <c r="D19" s="37" t="inlineStr">
        <is>
          <t>Stage 1/Stage 2 review with source citations + conflict resolution + per-section edit + final approval</t>
        </is>
      </c>
      <c r="E19" s="37" t="inlineStr">
        <is>
          <t>Prose body / SOURCES panel (T/V/S/E badges) / EDITED indicator / conflict Accept/Reject/Edit / edit sheet / Stage 2 banner / approve flow</t>
        </is>
      </c>
      <c r="F19" s="37" t="inlineStr">
        <is>
          <t>NoteResponse + WebSocket updates</t>
        </is>
      </c>
      <c r="G19" s="37" t="inlineStr">
        <is>
          <t>B010 Notes, B011 Vision, B014 WebSocket</t>
        </is>
      </c>
      <c r="H19" s="37" t="inlineStr">
        <is>
          <t>Built (M-09 source anchoring, M-10 conflicts, M-07 Stage 2 banner)</t>
        </is>
      </c>
      <c r="I19" s="37" t="inlineStr">
        <is>
          <t>Built</t>
        </is>
      </c>
      <c r="J19" s="37" t="inlineStr">
        <is>
          <t>P0</t>
        </is>
      </c>
      <c r="K19" s="37" t="inlineStr">
        <is>
          <t>Done</t>
        </is>
      </c>
      <c r="L19" s="37" t="inlineStr">
        <is>
          <t>XL</t>
        </is>
      </c>
      <c r="M19" s="41">
        <f>IF(L19="S",1,IF(L19="M",3,IF(L19="L",8,IF(L19="XL",15,0))))</f>
        <v/>
      </c>
      <c r="N19" s="48" t="n"/>
      <c r="O19" s="41">
        <f>IF(ISNUMBER(N19),N19,IF(ISNUMBER(M19),M19,0))</f>
        <v/>
      </c>
      <c r="P19" s="37" t="inlineStr">
        <is>
          <t>B010, B011</t>
        </is>
      </c>
      <c r="Q19" s="37" t="inlineStr">
        <is>
          <t>Conflict-resolution flow needs clinician usability pass during dry run.</t>
        </is>
      </c>
      <c r="R19" s="37" t="inlineStr">
        <is>
          <t>iPad: prose body capped at 720pt for readable line length.</t>
        </is>
      </c>
    </row>
    <row r="20" ht="48" customHeight="1" s="28">
      <c r="A20" s="41" t="inlineStr">
        <is>
          <t>S017</t>
        </is>
      </c>
      <c r="B20" s="37" t="inlineStr">
        <is>
          <t>ExportView</t>
        </is>
      </c>
      <c r="C20" s="37" t="inlineStr">
        <is>
          <t>Clinician</t>
        </is>
      </c>
      <c r="D20" s="37" t="inlineStr">
        <is>
          <t>On-device DOCX + plain text export, share, audited local purge</t>
        </is>
      </c>
      <c r="E20" s="37" t="inlineStr">
        <is>
          <t>Format picker (DOCX / Text; PDF deferred) / on-device generate / share sheet / purge confirmation chip / audit POST</t>
        </is>
      </c>
      <c r="F20" s="37" t="inlineStr">
        <is>
          <t>Latest NoteResponse</t>
        </is>
      </c>
      <c r="G20" s="37" t="inlineStr">
        <is>
          <t>B010 Notes (full), B012 Export (audit)</t>
        </is>
      </c>
      <c r="H20" s="37" t="inlineStr">
        <is>
          <t>Built (M-11 on-device gen, M-12 purge integration)</t>
        </is>
      </c>
      <c r="I20" s="37" t="inlineStr">
        <is>
          <t>Built</t>
        </is>
      </c>
      <c r="J20" s="37" t="inlineStr">
        <is>
          <t>P0</t>
        </is>
      </c>
      <c r="K20" s="37" t="inlineStr">
        <is>
          <t>Done</t>
        </is>
      </c>
      <c r="L20" s="37" t="inlineStr">
        <is>
          <t>L</t>
        </is>
      </c>
      <c r="M20" s="41">
        <f>IF(L20="S",1,IF(L20="M",3,IF(L20="L",8,IF(L20="XL",15,0))))</f>
        <v/>
      </c>
      <c r="N20" s="48" t="n"/>
      <c r="O20" s="41">
        <f>IF(ISNUMBER(N20),N20,IF(ISNUMBER(M20),M20,0))</f>
        <v/>
      </c>
      <c r="P20" s="37" t="inlineStr">
        <is>
          <t>B012, M015</t>
        </is>
      </c>
      <c r="Q20" s="37" t="inlineStr">
        <is>
          <t>DOCX is hand-rolled minimal ZIP; verify Word fidelity on actual desktop.</t>
        </is>
      </c>
      <c r="R20" s="37" t="inlineStr">
        <is>
          <t>PDF flagged Coming Soon; not in MVP.</t>
        </is>
      </c>
    </row>
    <row r="21" ht="48" customHeight="1" s="28">
      <c r="A21" s="41" t="inlineStr">
        <is>
          <t>S018</t>
        </is>
      </c>
      <c r="B21" s="37" t="inlineStr">
        <is>
          <t>NoteReadyView</t>
        </is>
      </c>
      <c r="C21" s="37" t="inlineStr">
        <is>
          <t>Clinician</t>
        </is>
      </c>
      <c r="D21" s="37" t="inlineStr">
        <is>
          <t>Brief 'Stage 1 ready' banner that opens review</t>
        </is>
      </c>
      <c r="E21" s="37" t="inlineStr">
        <is>
          <t>Toast / Open CTA / dismiss</t>
        </is>
      </c>
      <c r="F21" s="37" t="inlineStr">
        <is>
          <t>—</t>
        </is>
      </c>
      <c r="G21" s="37" t="inlineStr">
        <is>
          <t>—</t>
        </is>
      </c>
      <c r="H21" s="37" t="inlineStr">
        <is>
          <t>Built</t>
        </is>
      </c>
      <c r="I21" s="37" t="inlineStr">
        <is>
          <t>Built</t>
        </is>
      </c>
      <c r="J21" s="37" t="inlineStr">
        <is>
          <t>P1</t>
        </is>
      </c>
      <c r="K21" s="37" t="inlineStr">
        <is>
          <t>Done</t>
        </is>
      </c>
      <c r="L21" s="37" t="inlineStr">
        <is>
          <t>S</t>
        </is>
      </c>
      <c r="M21" s="41">
        <f>IF(L21="S",1,IF(L21="M",3,IF(L21="L",8,IF(L21="XL",15,0))))</f>
        <v/>
      </c>
      <c r="N21" s="48" t="n"/>
      <c r="O21" s="41">
        <f>IF(ISNUMBER(N21),N21,IF(ISNUMBER(M21),M21,0))</f>
        <v/>
      </c>
      <c r="P21" s="37" t="inlineStr">
        <is>
          <t>S014, S015</t>
        </is>
      </c>
      <c r="Q21" s="37" t="inlineStr">
        <is>
          <t>—</t>
        </is>
      </c>
      <c r="R21" s="37" t="inlineStr">
        <is>
          <t>—</t>
        </is>
      </c>
    </row>
    <row r="22" ht="48" customHeight="1" s="28">
      <c r="A22" s="41" t="inlineStr">
        <is>
          <t>S019</t>
        </is>
      </c>
      <c r="B22" s="37" t="inlineStr">
        <is>
          <t>SessionsInboxView</t>
        </is>
      </c>
      <c r="C22" s="37" t="inlineStr">
        <is>
          <t>Clinician</t>
        </is>
      </c>
      <c r="D22" s="37" t="inlineStr">
        <is>
          <t>Past sessions — completeness scores, drill into note</t>
        </is>
      </c>
      <c r="E22" s="37" t="inlineStr">
        <is>
          <t>Session list / sort / filter / open SessionNoteView</t>
        </is>
      </c>
      <c r="F22" s="37" t="inlineStr">
        <is>
          <t>Sessions list</t>
        </is>
      </c>
      <c r="G22" s="37" t="inlineStr">
        <is>
          <t>B006 Sessions, B010 Notes</t>
        </is>
      </c>
      <c r="H22" s="37" t="inlineStr">
        <is>
          <t>Built</t>
        </is>
      </c>
      <c r="I22" s="37" t="inlineStr">
        <is>
          <t>Built; iPad-adaptive M-13</t>
        </is>
      </c>
      <c r="J22" s="37" t="inlineStr">
        <is>
          <t>P1</t>
        </is>
      </c>
      <c r="K22" s="37" t="inlineStr">
        <is>
          <t>Done</t>
        </is>
      </c>
      <c r="L22" s="37" t="inlineStr">
        <is>
          <t>M</t>
        </is>
      </c>
      <c r="M22" s="41">
        <f>IF(L22="S",1,IF(L22="M",3,IF(L22="L",8,IF(L22="XL",15,0))))</f>
        <v/>
      </c>
      <c r="N22" s="48" t="n"/>
      <c r="O22" s="41">
        <f>IF(ISNUMBER(N22),N22,IF(ISNUMBER(M22),M22,0))</f>
        <v/>
      </c>
      <c r="P22" s="37" t="inlineStr">
        <is>
          <t>B006</t>
        </is>
      </c>
      <c r="Q22" s="37" t="inlineStr">
        <is>
          <t>—</t>
        </is>
      </c>
      <c r="R22" s="37" t="inlineStr">
        <is>
          <t>—</t>
        </is>
      </c>
    </row>
    <row r="23" ht="48" customHeight="1" s="28">
      <c r="A23" s="41" t="inlineStr">
        <is>
          <t>S020</t>
        </is>
      </c>
      <c r="B23" s="37" t="inlineStr">
        <is>
          <t>SessionNoteView</t>
        </is>
      </c>
      <c r="C23" s="37" t="inlineStr">
        <is>
          <t>Clinician</t>
        </is>
      </c>
      <c r="D23" s="37" t="inlineStr">
        <is>
          <t>Read-only past note with source citation drilldown</t>
        </is>
      </c>
      <c r="E23" s="37" t="inlineStr">
        <is>
          <t>Section list / source panel / edit (if re-open) / share</t>
        </is>
      </c>
      <c r="F23" s="37" t="inlineStr">
        <is>
          <t>NoteResponse</t>
        </is>
      </c>
      <c r="G23" s="37" t="inlineStr">
        <is>
          <t>B010 Notes</t>
        </is>
      </c>
      <c r="H23" s="37" t="inlineStr">
        <is>
          <t>Built</t>
        </is>
      </c>
      <c r="I23" s="37" t="inlineStr">
        <is>
          <t>Built</t>
        </is>
      </c>
      <c r="J23" s="37" t="inlineStr">
        <is>
          <t>P1</t>
        </is>
      </c>
      <c r="K23" s="37" t="inlineStr">
        <is>
          <t>Done</t>
        </is>
      </c>
      <c r="L23" s="37" t="inlineStr">
        <is>
          <t>M</t>
        </is>
      </c>
      <c r="M23" s="41">
        <f>IF(L23="S",1,IF(L23="M",3,IF(L23="L",8,IF(L23="XL",15,0))))</f>
        <v/>
      </c>
      <c r="N23" s="48" t="n"/>
      <c r="O23" s="41">
        <f>IF(ISNUMBER(N23),N23,IF(ISNUMBER(M23),M23,0))</f>
        <v/>
      </c>
      <c r="P23" s="37" t="inlineStr">
        <is>
          <t>B010</t>
        </is>
      </c>
      <c r="Q23" s="37" t="inlineStr">
        <is>
          <t>—</t>
        </is>
      </c>
      <c r="R23" s="37" t="inlineStr">
        <is>
          <t>Re-uses NoteReviewView styling.</t>
        </is>
      </c>
    </row>
    <row r="24" ht="48" customHeight="1" s="28">
      <c r="A24" s="41" t="inlineStr">
        <is>
          <t>S021</t>
        </is>
      </c>
      <c r="B24" s="37" t="inlineStr">
        <is>
          <t>ProfileView</t>
        </is>
      </c>
      <c r="C24" s="37" t="inlineStr">
        <is>
          <t>Clinician</t>
        </is>
      </c>
      <c r="D24" s="37" t="inlineStr">
        <is>
          <t>Settings — profile, voice profile mgmt, language, privacy, retention prefs, sign out</t>
        </is>
      </c>
      <c r="E24" s="37" t="inlineStr">
        <is>
          <t>Profile read/edit / voice profile status + delete+re-enroll / language picker / sign out</t>
        </is>
      </c>
      <c r="F24" s="37" t="inlineStr">
        <is>
          <t>Profile fields</t>
        </is>
      </c>
      <c r="G24" s="37" t="inlineStr">
        <is>
          <t>B002 Profile</t>
        </is>
      </c>
      <c r="H24" s="37" t="inlineStr">
        <is>
          <t>Built</t>
        </is>
      </c>
      <c r="I24" s="37" t="inlineStr">
        <is>
          <t>Built</t>
        </is>
      </c>
      <c r="J24" s="37" t="inlineStr">
        <is>
          <t>P1</t>
        </is>
      </c>
      <c r="K24" s="37" t="inlineStr">
        <is>
          <t>Done</t>
        </is>
      </c>
      <c r="L24" s="37" t="inlineStr">
        <is>
          <t>M</t>
        </is>
      </c>
      <c r="M24" s="41">
        <f>IF(L24="S",1,IF(L24="M",3,IF(L24="L",8,IF(L24="XL",15,0))))</f>
        <v/>
      </c>
      <c r="N24" s="48" t="n"/>
      <c r="O24" s="41">
        <f>IF(ISNUMBER(N24),N24,IF(ISNUMBER(M24),M24,0))</f>
        <v/>
      </c>
      <c r="P24" s="37" t="inlineStr">
        <is>
          <t>B002</t>
        </is>
      </c>
      <c r="Q24" s="37" t="inlineStr">
        <is>
          <t>—</t>
        </is>
      </c>
      <c r="R24" s="37" t="inlineStr">
        <is>
          <t>Voice-profile-deleted audit event.</t>
        </is>
      </c>
    </row>
    <row r="25" ht="48" customHeight="1" s="28">
      <c r="A25" s="41" t="inlineStr">
        <is>
          <t>S022</t>
        </is>
      </c>
      <c r="B25" s="37" t="inlineStr">
        <is>
          <t>FrameGalleryView (debug)</t>
        </is>
      </c>
      <c r="C25" s="37" t="inlineStr">
        <is>
          <t>Developer</t>
        </is>
      </c>
      <c r="D25" s="37" t="inlineStr">
        <is>
          <t>Inspect captured masked frames for QA</t>
        </is>
      </c>
      <c r="E25" s="37" t="inlineStr">
        <is>
          <t>Grid of thumbnails / tap to preview / discard</t>
        </is>
      </c>
      <c r="F25" s="37" t="inlineStr">
        <is>
          <t>CapturedFrame list</t>
        </is>
      </c>
      <c r="G25" s="37" t="inlineStr">
        <is>
          <t>—</t>
        </is>
      </c>
      <c r="H25" s="37" t="inlineStr">
        <is>
          <t>Built</t>
        </is>
      </c>
      <c r="I25" s="37" t="inlineStr">
        <is>
          <t>Hidden in pilot/release builds</t>
        </is>
      </c>
      <c r="J25" s="37" t="inlineStr">
        <is>
          <t>P3</t>
        </is>
      </c>
      <c r="K25" s="37" t="inlineStr">
        <is>
          <t>Done</t>
        </is>
      </c>
      <c r="L25" s="37" t="inlineStr">
        <is>
          <t>S</t>
        </is>
      </c>
      <c r="M25" s="41">
        <f>IF(L25="S",1,IF(L25="M",3,IF(L25="L",8,IF(L25="XL",15,0))))</f>
        <v/>
      </c>
      <c r="N25" s="48" t="n"/>
      <c r="O25" s="41">
        <f>IF(ISNUMBER(N25),N25,IF(ISNUMBER(M25),M25,0))</f>
        <v/>
      </c>
      <c r="P25" s="37" t="inlineStr">
        <is>
          <t>—</t>
        </is>
      </c>
      <c r="Q25" s="37" t="inlineStr">
        <is>
          <t>Confirm guarded behind #if DEBUG.</t>
        </is>
      </c>
      <c r="R25" s="37" t="inlineStr">
        <is>
          <t>Visible only in dev — keep out of pilot UX.</t>
        </is>
      </c>
    </row>
    <row r="26" ht="48" customHeight="1" s="28">
      <c r="A26" s="41" t="inlineStr">
        <is>
          <t>S023</t>
        </is>
      </c>
      <c r="B26" s="37" t="inlineStr">
        <is>
          <t>ContentView (root shell)</t>
        </is>
      </c>
      <c r="C26" s="37" t="inlineStr">
        <is>
          <t>All</t>
        </is>
      </c>
      <c r="D26" s="37" t="inlineStr">
        <is>
          <t>Top-level router — auth → onboarding → main app, plus recovery flow</t>
        </is>
      </c>
      <c r="E26" s="37" t="inlineStr">
        <is>
          <t>Routing tree / processing overlay / scene-phase hooks (M-12 stale purge)</t>
        </is>
      </c>
      <c r="F26" s="37" t="inlineStr">
        <is>
          <t>—</t>
        </is>
      </c>
      <c r="G26" s="37" t="inlineStr">
        <is>
          <t>—</t>
        </is>
      </c>
      <c r="H26" s="37" t="inlineStr">
        <is>
          <t>Built</t>
        </is>
      </c>
      <c r="I26" s="37" t="inlineStr">
        <is>
          <t>Built</t>
        </is>
      </c>
      <c r="J26" s="37" t="inlineStr">
        <is>
          <t>P0</t>
        </is>
      </c>
      <c r="K26" s="37" t="inlineStr">
        <is>
          <t>Done</t>
        </is>
      </c>
      <c r="L26" s="37" t="inlineStr">
        <is>
          <t>M</t>
        </is>
      </c>
      <c r="M26" s="41">
        <f>IF(L26="S",1,IF(L26="M",3,IF(L26="L",8,IF(L26="XL",15,0))))</f>
        <v/>
      </c>
      <c r="N26" s="48" t="n"/>
      <c r="O26" s="41">
        <f>IF(ISNUMBER(N26),N26,IF(ISNUMBER(M26),M26,0))</f>
        <v/>
      </c>
      <c r="P26" s="37" t="inlineStr">
        <is>
          <t>S001, S002, S008</t>
        </is>
      </c>
      <c r="Q26" s="37" t="inlineStr">
        <is>
          <t>—</t>
        </is>
      </c>
      <c r="R26" s="37" t="inlineStr">
        <is>
          <t>scenePhase=.active fires LocalDataPurger.purgeStaleArtifacts().</t>
        </is>
      </c>
    </row>
    <row r="27" ht="48" customHeight="1" s="28">
      <c r="A27" s="41" t="inlineStr">
        <is>
          <t>S024</t>
        </is>
      </c>
      <c r="B27" s="37" t="n"/>
      <c r="C27" s="37" t="n"/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41">
        <f>IF(L27="S",1,IF(L27="M",3,IF(L27="L",8,IF(L27="XL",15,0))))</f>
        <v/>
      </c>
      <c r="N27" s="48" t="n"/>
      <c r="O27" s="41">
        <f>IF(ISNUMBER(N27),N27,IF(ISNUMBER(M27),M27,0))</f>
        <v/>
      </c>
      <c r="P27" s="37" t="n"/>
      <c r="Q27" s="37" t="n"/>
      <c r="R27" s="37" t="n"/>
    </row>
    <row r="28" ht="48" customHeight="1" s="28">
      <c r="A28" s="41" t="inlineStr">
        <is>
          <t>S025</t>
        </is>
      </c>
      <c r="B28" s="37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41">
        <f>IF(L28="S",1,IF(L28="M",3,IF(L28="L",8,IF(L28="XL",15,0))))</f>
        <v/>
      </c>
      <c r="N28" s="48" t="n"/>
      <c r="O28" s="41">
        <f>IF(ISNUMBER(N28),N28,IF(ISNUMBER(M28),M28,0))</f>
        <v/>
      </c>
      <c r="P28" s="37" t="n"/>
      <c r="Q28" s="37" t="n"/>
      <c r="R28" s="37" t="n"/>
    </row>
    <row r="30" ht="15" customHeight="1" s="28">
      <c r="L30" s="53" t="inlineStr">
        <is>
          <t>TOTAL (days)</t>
        </is>
      </c>
      <c r="M30" s="54">
        <f>SUM(M4:M28)</f>
        <v/>
      </c>
      <c r="O30" s="54">
        <f>SUM(O4:O28)</f>
        <v/>
      </c>
    </row>
    <row r="31" ht="15" customHeight="1" s="28">
      <c r="L31" s="53" t="inlineStr">
        <is>
          <t>REMAINING (days, excl. Done)</t>
        </is>
      </c>
      <c r="O31" s="54">
        <f>SUMIFS(O4:O28,K4:K28,"&lt;&gt;Done")</f>
        <v/>
      </c>
    </row>
  </sheetData>
  <mergeCells count="1">
    <mergeCell ref="A1:R1"/>
  </mergeCells>
  <dataValidations count="3">
    <dataValidation sqref="L29:L33" showDropDown="0" showInputMessage="0" showErrorMessage="0" allowBlank="1" type="list" errorStyle="stop" operator="between">
      <formula1>"Not Started,In Progress,Blocked,Done"</formula1>
      <formula2>0</formula2>
    </dataValidation>
    <dataValidation sqref="M4:N28 M29:M33" showDropDown="0" showInputMessage="0" showErrorMessage="0" allowBlank="1" type="list" errorStyle="stop" operator="between">
      <formula1>"S,M,L,XL"</formula1>
      <formula2>0</formula2>
    </dataValidation>
    <dataValidation sqref="J4:L28 K29:K33" showDropDown="0" showInputMessage="0" showErrorMessage="0" allowBlank="1" type="list" errorStyle="stop" operator="between">
      <formula1>"Must,Should,Could,Won't"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S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6" customWidth="1" style="27" min="1" max="1"/>
    <col width="24" customWidth="1" style="27" min="2" max="2"/>
    <col width="14" customWidth="1" style="27" min="3" max="3"/>
    <col width="28" customWidth="1" style="27" min="4" max="4"/>
    <col width="36" customWidth="1" style="27" min="5" max="5"/>
    <col width="26" customWidth="1" style="27" min="6" max="6"/>
    <col width="18" customWidth="1" style="27" min="7" max="7"/>
    <col width="14" customWidth="1" style="27" min="8" max="8"/>
    <col width="30" customWidth="1" style="27" min="9" max="10"/>
    <col width="10" customWidth="1" style="27" min="11" max="11"/>
    <col width="14" customWidth="1" style="27" min="12" max="12"/>
    <col width="12" customWidth="1" style="27" min="13" max="13"/>
    <col width="14" customWidth="1" style="27" min="14" max="14"/>
    <col width="16" customWidth="1" style="27" min="15" max="15"/>
    <col width="14" customWidth="1" style="27" min="16" max="16"/>
    <col width="24" customWidth="1" style="27" min="17" max="17"/>
    <col width="28" customWidth="1" style="27" min="18" max="19"/>
  </cols>
  <sheetData>
    <row r="1" ht="31.5" customHeight="1" s="28">
      <c r="A1" s="29" t="inlineStr">
        <is>
          <t>Backend Services &amp; APIs</t>
        </is>
      </c>
    </row>
    <row r="2" ht="7.5" customHeight="1" s="28"/>
    <row r="3" ht="31.5" customHeight="1" s="28">
      <c r="A3" s="40" t="inlineStr">
        <is>
          <t>ID</t>
        </is>
      </c>
      <c r="B3" s="40" t="inlineStr">
        <is>
          <t>Service / Module Name</t>
        </is>
      </c>
      <c r="C3" s="40" t="inlineStr">
        <is>
          <t>Type</t>
        </is>
      </c>
      <c r="D3" s="40" t="inlineStr">
        <is>
          <t>Purpose</t>
        </is>
      </c>
      <c r="E3" s="40" t="inlineStr">
        <is>
          <t>Endpoints / Functions (list)</t>
        </is>
      </c>
      <c r="F3" s="40" t="inlineStr">
        <is>
          <t>Data model / entities</t>
        </is>
      </c>
      <c r="G3" s="40" t="inlineStr">
        <is>
          <t>Data store</t>
        </is>
      </c>
      <c r="H3" s="40" t="inlineStr">
        <is>
          <t>Auth required?</t>
        </is>
      </c>
      <c r="I3" s="40" t="inlineStr">
        <is>
          <t>Current State</t>
        </is>
      </c>
      <c r="J3" s="40" t="inlineStr">
        <is>
          <t>Target State for Demo</t>
        </is>
      </c>
      <c r="K3" s="40" t="inlineStr">
        <is>
          <t>Priority</t>
        </is>
      </c>
      <c r="L3" s="40" t="inlineStr">
        <is>
          <t>Status</t>
        </is>
      </c>
      <c r="M3" s="40" t="inlineStr">
        <is>
          <t>Complexity</t>
        </is>
      </c>
      <c r="N3" s="40" t="inlineStr">
        <is>
          <t>Estimated Days</t>
        </is>
      </c>
      <c r="O3" s="40" t="inlineStr">
        <is>
          <t>Manual Override (Days)</t>
        </is>
      </c>
      <c r="P3" s="40" t="inlineStr">
        <is>
          <t>Effective Days</t>
        </is>
      </c>
      <c r="Q3" s="40" t="inlineStr">
        <is>
          <t>Dependencies</t>
        </is>
      </c>
      <c r="R3" s="40" t="inlineStr">
        <is>
          <t>Risks / Open Questions</t>
        </is>
      </c>
      <c r="S3" s="40" t="inlineStr">
        <is>
          <t>Notes</t>
        </is>
      </c>
    </row>
    <row r="4" ht="48" customHeight="1" s="28">
      <c r="A4" s="41" t="inlineStr">
        <is>
          <t>B001</t>
        </is>
      </c>
      <c r="B4" s="37" t="inlineStr">
        <is>
          <t>Auth (api/v1/auth.py)</t>
        </is>
      </c>
      <c r="C4" s="37" t="inlineStr">
        <is>
          <t>API</t>
        </is>
      </c>
      <c r="D4" s="37" t="inlineStr">
        <is>
          <t>Sign-up / login / JWT / dev seed users</t>
        </is>
      </c>
      <c r="E4" s="37" t="inlineStr">
        <is>
          <t>POST /auth/login, /auth/register, /auth/me, seed_dev_users (dev)</t>
        </is>
      </c>
      <c r="F4" s="37" t="inlineStr">
        <is>
          <t>UserModel</t>
        </is>
      </c>
      <c r="G4" s="37" t="inlineStr">
        <is>
          <t>PostgreSQL + Cognito JWKS</t>
        </is>
      </c>
      <c r="H4" s="37" t="inlineStr">
        <is>
          <t>No (login) / Yes (rest)</t>
        </is>
      </c>
      <c r="I4" s="37" t="inlineStr">
        <is>
          <t>Built</t>
        </is>
      </c>
      <c r="J4" s="37" t="inlineStr">
        <is>
          <t>Built</t>
        </is>
      </c>
      <c r="K4" s="37" t="inlineStr">
        <is>
          <t>P0</t>
        </is>
      </c>
      <c r="L4" s="37" t="inlineStr">
        <is>
          <t>Done</t>
        </is>
      </c>
      <c r="M4" s="37" t="inlineStr">
        <is>
          <t>M</t>
        </is>
      </c>
      <c r="N4" s="41">
        <f>IF(M4="S",1,IF(M4="M",3,IF(M4="L",8,IF(M4="XL",15,0))))</f>
        <v/>
      </c>
      <c r="O4" s="48" t="n"/>
      <c r="P4" s="41">
        <f>IF(ISNUMBER(O4),O4,IF(ISNUMBER(N4),N4,0))</f>
        <v/>
      </c>
      <c r="Q4" s="37" t="inlineStr">
        <is>
          <t>B021 SessionMgr</t>
        </is>
      </c>
      <c r="R4" s="37" t="inlineStr">
        <is>
          <t>—</t>
        </is>
      </c>
      <c r="S4" s="37" t="inlineStr">
        <is>
          <t>—</t>
        </is>
      </c>
    </row>
    <row r="5" ht="48" customHeight="1" s="28">
      <c r="A5" s="41" t="inlineStr">
        <is>
          <t>B002</t>
        </is>
      </c>
      <c r="B5" s="37" t="inlineStr">
        <is>
          <t>Profile (api/v1/profile.py)</t>
        </is>
      </c>
      <c r="C5" s="37" t="inlineStr">
        <is>
          <t>API</t>
        </is>
      </c>
      <c r="D5" s="37" t="inlineStr">
        <is>
          <t>Physician profile CRUD</t>
        </is>
      </c>
      <c r="E5" s="37" t="inlineStr">
        <is>
          <t>GET/PUT /profile, /profile/specialties</t>
        </is>
      </c>
      <c r="F5" s="37" t="inlineStr">
        <is>
          <t>PhysicianProfileModel</t>
        </is>
      </c>
      <c r="G5" s="37" t="inlineStr">
        <is>
          <t>PostgreSQL</t>
        </is>
      </c>
      <c r="H5" s="37" t="inlineStr">
        <is>
          <t>Yes</t>
        </is>
      </c>
      <c r="I5" s="37" t="inlineStr">
        <is>
          <t>Built</t>
        </is>
      </c>
      <c r="J5" s="37" t="inlineStr">
        <is>
          <t>Built</t>
        </is>
      </c>
      <c r="K5" s="37" t="inlineStr">
        <is>
          <t>P0</t>
        </is>
      </c>
      <c r="L5" s="37" t="inlineStr">
        <is>
          <t>Done</t>
        </is>
      </c>
      <c r="M5" s="37" t="inlineStr">
        <is>
          <t>S</t>
        </is>
      </c>
      <c r="N5" s="41">
        <f>IF(M5="S",1,IF(M5="M",3,IF(M5="L",8,IF(M5="XL",15,0))))</f>
        <v/>
      </c>
      <c r="O5" s="48" t="n"/>
      <c r="P5" s="41">
        <f>IF(ISNUMBER(O5),O5,IF(ISNUMBER(N5),N5,0))</f>
        <v/>
      </c>
      <c r="Q5" s="37" t="inlineStr">
        <is>
          <t>—</t>
        </is>
      </c>
      <c r="R5" s="37" t="inlineStr">
        <is>
          <t>—</t>
        </is>
      </c>
      <c r="S5" s="37" t="inlineStr">
        <is>
          <t>—</t>
        </is>
      </c>
    </row>
    <row r="6" ht="48" customHeight="1" s="28">
      <c r="A6" s="41" t="inlineStr">
        <is>
          <t>B003</t>
        </is>
      </c>
      <c r="B6" s="37" t="inlineStr">
        <is>
          <t>Config (api/v1/config.py)</t>
        </is>
      </c>
      <c r="C6" s="37" t="inlineStr">
        <is>
          <t>API</t>
        </is>
      </c>
      <c r="D6" s="37" t="inlineStr">
        <is>
          <t>Expose runtime AppConfig (providers, flags) to clients</t>
        </is>
      </c>
      <c r="E6" s="37" t="inlineStr">
        <is>
          <t>GET /config</t>
        </is>
      </c>
      <c r="F6" s="37" t="inlineStr">
        <is>
          <t>AppConfig schema</t>
        </is>
      </c>
      <c r="G6" s="37" t="inlineStr">
        <is>
          <t>AWS AppConfig (LocalStack in dev)</t>
        </is>
      </c>
      <c r="H6" s="37" t="inlineStr">
        <is>
          <t>Yes</t>
        </is>
      </c>
      <c r="I6" s="37" t="inlineStr">
        <is>
          <t>Built</t>
        </is>
      </c>
      <c r="J6" s="37" t="inlineStr">
        <is>
          <t>Built</t>
        </is>
      </c>
      <c r="K6" s="37" t="inlineStr">
        <is>
          <t>P1</t>
        </is>
      </c>
      <c r="L6" s="37" t="inlineStr">
        <is>
          <t>Done</t>
        </is>
      </c>
      <c r="M6" s="37" t="inlineStr">
        <is>
          <t>S</t>
        </is>
      </c>
      <c r="N6" s="41">
        <f>IF(M6="S",1,IF(M6="M",3,IF(M6="L",8,IF(M6="XL",15,0))))</f>
        <v/>
      </c>
      <c r="O6" s="48" t="n"/>
      <c r="P6" s="41">
        <f>IF(ISNUMBER(O6),O6,IF(ISNUMBER(N6),N6,0))</f>
        <v/>
      </c>
      <c r="Q6" s="37" t="inlineStr">
        <is>
          <t>M008 AppConfig</t>
        </is>
      </c>
      <c r="R6" s="37" t="inlineStr">
        <is>
          <t>—</t>
        </is>
      </c>
      <c r="S6" s="37" t="inlineStr">
        <is>
          <t>30 s polling on backend.</t>
        </is>
      </c>
    </row>
    <row r="7" ht="48" customHeight="1" s="28">
      <c r="A7" s="41" t="inlineStr">
        <is>
          <t>B004</t>
        </is>
      </c>
      <c r="B7" s="37" t="inlineStr">
        <is>
          <t>Admin (api/v1/admin.py)</t>
        </is>
      </c>
      <c r="C7" s="37" t="inlineStr">
        <is>
          <t>API</t>
        </is>
      </c>
      <c r="D7" s="37" t="inlineStr">
        <is>
          <t>Admin endpoints: audit, masking report, metrics, sessions, users, eval, config</t>
        </is>
      </c>
      <c r="E7" s="37" t="inlineStr">
        <is>
          <t>GET /admin/* (audit, masking-report, sessions, users, eval-scores)</t>
        </is>
      </c>
      <c r="F7" s="37" t="inlineStr">
        <is>
          <t>_MOCK_USERS (in-memory!)</t>
        </is>
      </c>
      <c r="G7" s="37" t="inlineStr">
        <is>
          <t>PostgreSQL + DynamoDB + memory</t>
        </is>
      </c>
      <c r="H7" s="37" t="inlineStr">
        <is>
          <t>Yes (admin role)</t>
        </is>
      </c>
      <c r="I7" s="37" t="inlineStr">
        <is>
          <t>Built but users + eval-scores are in-memory mocks</t>
        </is>
      </c>
      <c r="J7" s="37" t="inlineStr">
        <is>
          <t>Replace mock users + eval scores with persistent storage (P0-06).</t>
        </is>
      </c>
      <c r="K7" s="37" t="inlineStr">
        <is>
          <t>P0</t>
        </is>
      </c>
      <c r="L7" s="37" t="inlineStr">
        <is>
          <t>Done</t>
        </is>
      </c>
      <c r="M7" s="37" t="inlineStr">
        <is>
          <t>L</t>
        </is>
      </c>
      <c r="N7" s="41">
        <f>IF(M7="S",1,IF(M7="M",3,IF(M7="L",8,IF(M7="XL",15,0))))</f>
        <v/>
      </c>
      <c r="O7" s="48" t="n"/>
      <c r="P7" s="41">
        <f>IF(ISNUMBER(O7),O7,IF(ISNUMBER(N7),N7,0))</f>
        <v/>
      </c>
      <c r="Q7" s="37" t="inlineStr">
        <is>
          <t>B026 user store, B027 eval scores</t>
        </is>
      </c>
      <c r="R7" s="37" t="inlineStr">
        <is>
          <t>P0-06 blocker for compliance audit pre-pilot.</t>
        </is>
      </c>
      <c r="S7" s="37" t="inlineStr">
        <is>
          <t>Visible to ADMIN + COMPLIANCE_OFFICER + EVAL_TEAM.</t>
        </is>
      </c>
    </row>
    <row r="8" ht="48" customHeight="1" s="28">
      <c r="A8" s="41" t="inlineStr">
        <is>
          <t>B005</t>
        </is>
      </c>
      <c r="B8" s="37" t="inlineStr">
        <is>
          <t>Privacy (api/v1/privacy.py)</t>
        </is>
      </c>
      <c r="C8" s="37" t="inlineStr">
        <is>
          <t>API</t>
        </is>
      </c>
      <c r="D8" s="37" t="inlineStr">
        <is>
          <t>PHI masking report aggregating audit-log proofs</t>
        </is>
      </c>
      <c r="E8" s="37" t="inlineStr">
        <is>
          <t>GET /privacy/masking-report</t>
        </is>
      </c>
      <c r="F8" s="37" t="inlineStr">
        <is>
          <t>Audit events (DynamoDB)</t>
        </is>
      </c>
      <c r="G8" s="37" t="inlineStr">
        <is>
          <t>DynamoDB</t>
        </is>
      </c>
      <c r="H8" s="37" t="inlineStr">
        <is>
          <t>Yes</t>
        </is>
      </c>
      <c r="I8" s="37" t="inlineStr">
        <is>
          <t>Built</t>
        </is>
      </c>
      <c r="J8" s="37" t="inlineStr">
        <is>
          <t>Built</t>
        </is>
      </c>
      <c r="K8" s="37" t="inlineStr">
        <is>
          <t>P0</t>
        </is>
      </c>
      <c r="L8" s="37" t="inlineStr">
        <is>
          <t>Done</t>
        </is>
      </c>
      <c r="M8" s="37" t="inlineStr">
        <is>
          <t>M</t>
        </is>
      </c>
      <c r="N8" s="41">
        <f>IF(M8="S",1,IF(M8="M",3,IF(M8="L",8,IF(M8="XL",15,0))))</f>
        <v/>
      </c>
      <c r="O8" s="48" t="n"/>
      <c r="P8" s="41">
        <f>IF(ISNUMBER(O8),O8,IF(ISNUMBER(N8),N8,0))</f>
        <v/>
      </c>
      <c r="Q8" s="37" t="inlineStr">
        <is>
          <t>B018 audit-log</t>
        </is>
      </c>
      <c r="R8" s="37" t="inlineStr">
        <is>
          <t>—</t>
        </is>
      </c>
      <c r="S8" s="37" t="inlineStr">
        <is>
          <t>Proves 100% on-device masking pre-transmission.</t>
        </is>
      </c>
    </row>
    <row r="9" ht="48" customHeight="1" s="28">
      <c r="A9" s="41" t="inlineStr">
        <is>
          <t>B006</t>
        </is>
      </c>
      <c r="B9" s="37" t="inlineStr">
        <is>
          <t>Sessions (api/v1/sessions.py)</t>
        </is>
      </c>
      <c r="C9" s="37" t="inlineStr">
        <is>
          <t>API</t>
        </is>
      </c>
      <c r="D9" s="37" t="inlineStr">
        <is>
          <t>Session lifecycle: create / consent / start / pause / resume / stop / status; consent metadata capture</t>
        </is>
      </c>
      <c r="E9" s="37" t="inlineStr">
        <is>
          <t>POST /sessions, /confirm-consent, /start, /pause, /resume, /stop; GET /sessions/{id}</t>
        </is>
      </c>
      <c r="F9" s="37" t="inlineStr">
        <is>
          <t>SessionModel, audit events</t>
        </is>
      </c>
      <c r="G9" s="37" t="inlineStr">
        <is>
          <t>PostgreSQL + DynamoDB</t>
        </is>
      </c>
      <c r="H9" s="37" t="inlineStr">
        <is>
          <t>Yes</t>
        </is>
      </c>
      <c r="I9" s="37" t="inlineStr">
        <is>
          <t>Built (M-05 paper-consent metadata wired)</t>
        </is>
      </c>
      <c r="J9" s="37" t="inlineStr">
        <is>
          <t>Built</t>
        </is>
      </c>
      <c r="K9" s="37" t="inlineStr">
        <is>
          <t>P0</t>
        </is>
      </c>
      <c r="L9" s="37" t="inlineStr">
        <is>
          <t>Done</t>
        </is>
      </c>
      <c r="M9" s="37" t="inlineStr">
        <is>
          <t>L</t>
        </is>
      </c>
      <c r="N9" s="41">
        <f>IF(M9="S",1,IF(M9="M",3,IF(M9="L",8,IF(M9="XL",15,0))))</f>
        <v/>
      </c>
      <c r="O9" s="48" t="n"/>
      <c r="P9" s="41">
        <f>IF(ISNUMBER(O9),O9,IF(ISNUMBER(N9),N9,0))</f>
        <v/>
      </c>
      <c r="Q9" s="37" t="inlineStr">
        <is>
          <t>B021 state-machine</t>
        </is>
      </c>
      <c r="R9" s="37" t="inlineStr">
        <is>
          <t>—</t>
        </is>
      </c>
      <c r="S9" s="37" t="inlineStr">
        <is>
          <t>Consent hard-block in audit_log gate.</t>
        </is>
      </c>
    </row>
    <row r="10" ht="48" customHeight="1" s="28">
      <c r="A10" s="41" t="inlineStr">
        <is>
          <t>B007</t>
        </is>
      </c>
      <c r="B10" s="37" t="inlineStr">
        <is>
          <t>Transcription (api/v1/transcription.py)</t>
        </is>
      </c>
      <c r="C10" s="37" t="inlineStr">
        <is>
          <t>API</t>
        </is>
      </c>
      <c r="D10" s="37" t="inlineStr">
        <is>
          <t>WAV upload → Whisper → transcript persist → PHI audit → Stage 1 trigger; speaker tags PATCH; SLA latency capture</t>
        </is>
      </c>
      <c r="E10" s="37" t="inlineStr">
        <is>
          <t>POST /transcription/{id}; PATCH /transcription/{id}/speakers</t>
        </is>
      </c>
      <c r="F10" s="37" t="inlineStr">
        <is>
          <t>TranscriptModel, PilotMetricsModel, TranscriptSegment[]</t>
        </is>
      </c>
      <c r="G10" s="37" t="inlineStr">
        <is>
          <t>PostgreSQL + S3</t>
        </is>
      </c>
      <c r="H10" s="37" t="inlineStr">
        <is>
          <t>Yes</t>
        </is>
      </c>
      <c r="I10" s="37" t="inlineStr">
        <is>
          <t>Built (M-01 speaker tags + M-06 SLA)</t>
        </is>
      </c>
      <c r="J10" s="37" t="inlineStr">
        <is>
          <t>Built</t>
        </is>
      </c>
      <c r="K10" s="37" t="inlineStr">
        <is>
          <t>P0</t>
        </is>
      </c>
      <c r="L10" s="37" t="inlineStr">
        <is>
          <t>Done</t>
        </is>
      </c>
      <c r="M10" s="37" t="inlineStr">
        <is>
          <t>XL</t>
        </is>
      </c>
      <c r="N10" s="41">
        <f>IF(M10="S",1,IF(M10="M",3,IF(M10="L",8,IF(M10="XL",15,0))))</f>
        <v/>
      </c>
      <c r="O10" s="48" t="n"/>
      <c r="P10" s="41">
        <f>IF(ISNUMBER(O10),O10,IF(ISNUMBER(N10),N10,0))</f>
        <v/>
      </c>
      <c r="Q10" s="37" t="inlineStr">
        <is>
          <t>B015 providers, M001 Whisper</t>
        </is>
      </c>
      <c r="R10" s="37" t="inlineStr">
        <is>
          <t>—</t>
        </is>
      </c>
      <c r="S10" s="37" t="inlineStr">
        <is>
          <t>Wall-clock 30 s SLA via URLSession timeoutIntervalForResource.</t>
        </is>
      </c>
    </row>
    <row r="11" ht="48" customHeight="1" s="28">
      <c r="A11" s="41" t="inlineStr">
        <is>
          <t>B008</t>
        </is>
      </c>
      <c r="B11" s="37" t="inlineStr">
        <is>
          <t>Frames (api/v1/frames.py)</t>
        </is>
      </c>
      <c r="C11" s="37" t="inlineStr">
        <is>
          <t>API</t>
        </is>
      </c>
      <c r="D11" s="37" t="inlineStr">
        <is>
          <t>Masked video frame upload with masking proof contract (P0-02)</t>
        </is>
      </c>
      <c r="E11" s="37" t="inlineStr">
        <is>
          <t>POST /frames/{id}</t>
        </is>
      </c>
      <c r="F11" s="37" t="inlineStr">
        <is>
          <t>S3 keyed frames; audit</t>
        </is>
      </c>
      <c r="G11" s="37" t="inlineStr">
        <is>
          <t>S3 + DynamoDB</t>
        </is>
      </c>
      <c r="H11" s="37" t="inlineStr">
        <is>
          <t>Yes</t>
        </is>
      </c>
      <c r="I11" s="37" t="inlineStr">
        <is>
          <t>Built</t>
        </is>
      </c>
      <c r="J11" s="37" t="inlineStr">
        <is>
          <t>Built</t>
        </is>
      </c>
      <c r="K11" s="37" t="inlineStr">
        <is>
          <t>P0</t>
        </is>
      </c>
      <c r="L11" s="37" t="inlineStr">
        <is>
          <t>Done</t>
        </is>
      </c>
      <c r="M11" s="37" t="inlineStr">
        <is>
          <t>M</t>
        </is>
      </c>
      <c r="N11" s="41">
        <f>IF(M11="S",1,IF(M11="M",3,IF(M11="L",8,IF(M11="XL",15,0))))</f>
        <v/>
      </c>
      <c r="O11" s="48" t="n"/>
      <c r="P11" s="41">
        <f>IF(ISNUMBER(O11),O11,IF(ISNUMBER(N11),N11,0))</f>
        <v/>
      </c>
      <c r="Q11" s="37" t="inlineStr">
        <is>
          <t>B018 audit-log</t>
        </is>
      </c>
      <c r="R11" s="37" t="inlineStr">
        <is>
          <t>—</t>
        </is>
      </c>
      <c r="S11" s="37" t="inlineStr">
        <is>
          <t>Rejects uploads without verifiable masking metadata.</t>
        </is>
      </c>
    </row>
    <row r="12" ht="48" customHeight="1" s="28">
      <c r="A12" s="41" t="inlineStr">
        <is>
          <t>B009</t>
        </is>
      </c>
      <c r="B12" s="37" t="inlineStr">
        <is>
          <t>Screen (api/v1/screen.py)</t>
        </is>
      </c>
      <c r="C12" s="37" t="inlineStr">
        <is>
          <t>API</t>
        </is>
      </c>
      <c r="D12" s="37" t="inlineStr">
        <is>
          <t>Screen frame upload + on-device redaction proof; OCR + extracted lab/imaging merge into note (B-05)</t>
        </is>
      </c>
      <c r="E12" s="37" t="inlineStr">
        <is>
          <t>POST /screen/{id}</t>
        </is>
      </c>
      <c r="F12" s="37" t="inlineStr">
        <is>
          <t>ScreenCaptureResult, NoteClaim</t>
        </is>
      </c>
      <c r="G12" s="37" t="inlineStr">
        <is>
          <t>S3 + PostgreSQL (note version)</t>
        </is>
      </c>
      <c r="H12" s="37" t="inlineStr">
        <is>
          <t>Yes</t>
        </is>
      </c>
      <c r="I12" s="37" t="inlineStr">
        <is>
          <t>Built (B-05 + M-08 vertical slice)</t>
        </is>
      </c>
      <c r="J12" s="37" t="inlineStr">
        <is>
          <t>Built</t>
        </is>
      </c>
      <c r="K12" s="37" t="inlineStr">
        <is>
          <t>P0</t>
        </is>
      </c>
      <c r="L12" s="37" t="inlineStr">
        <is>
          <t>Done</t>
        </is>
      </c>
      <c r="M12" s="37" t="inlineStr">
        <is>
          <t>L</t>
        </is>
      </c>
      <c r="N12" s="41">
        <f>IF(M12="S",1,IF(M12="M",3,IF(M12="L",8,IF(M12="XL",15,0))))</f>
        <v/>
      </c>
      <c r="O12" s="48" t="n"/>
      <c r="P12" s="41">
        <f>IF(ISNUMBER(O12),O12,IF(ISNUMBER(N12),N12,0))</f>
        <v/>
      </c>
      <c r="Q12" s="37" t="inlineStr">
        <is>
          <t>B010 Notes, B019 PHI-audit, M011 Textract</t>
        </is>
      </c>
      <c r="R12" s="37" t="inlineStr">
        <is>
          <t>—</t>
        </is>
      </c>
      <c r="S12" s="37" t="inlineStr">
        <is>
          <t>Stage 1 must exist before merge — append-only into target section.</t>
        </is>
      </c>
    </row>
    <row r="13" ht="48" customHeight="1" s="28">
      <c r="A13" s="41" t="inlineStr">
        <is>
          <t>B010</t>
        </is>
      </c>
      <c r="B13" s="37" t="inlineStr">
        <is>
          <t>Notes (api/v1/notes.py)</t>
        </is>
      </c>
      <c r="C13" s="37" t="inlineStr">
        <is>
          <t>API</t>
        </is>
      </c>
      <c r="D13" s="37" t="inlineStr">
        <is>
          <t>Stage 1 read / approve-stage1 (now async) / Stage 2 detail / conflict resolve / edit / approve final / Stage 2 status (B-04)</t>
        </is>
      </c>
      <c r="E13" s="37" t="inlineStr">
        <is>
          <t>GET /notes/{id}/stage1, /detail, /full, /stage2-status; POST /approve-stage1, /approve; PATCH /edit, /conflicts/{cid}/resolve</t>
        </is>
      </c>
      <c r="F13" s="37" t="inlineStr">
        <is>
          <t>Note, NoteVersionModel, Stage2JobModel</t>
        </is>
      </c>
      <c r="G13" s="37" t="inlineStr">
        <is>
          <t>PostgreSQL</t>
        </is>
      </c>
      <c r="H13" s="37" t="inlineStr">
        <is>
          <t>Yes</t>
        </is>
      </c>
      <c r="I13" s="37" t="inlineStr">
        <is>
          <t>Built (M-09 schema + B-04 detail endpoint + M-10 resolve + B-06 async)</t>
        </is>
      </c>
      <c r="J13" s="37" t="inlineStr">
        <is>
          <t>Built</t>
        </is>
      </c>
      <c r="K13" s="37" t="inlineStr">
        <is>
          <t>P0</t>
        </is>
      </c>
      <c r="L13" s="37" t="inlineStr">
        <is>
          <t>Done</t>
        </is>
      </c>
      <c r="M13" s="37" t="inlineStr">
        <is>
          <t>XL</t>
        </is>
      </c>
      <c r="N13" s="41">
        <f>IF(M13="S",1,IF(M13="M",3,IF(M13="L",8,IF(M13="XL",15,0))))</f>
        <v/>
      </c>
      <c r="O13" s="48" t="n"/>
      <c r="P13" s="41">
        <f>IF(ISNUMBER(O13),O13,IF(ISNUMBER(N13),N13,0))</f>
        <v/>
      </c>
      <c r="Q13" s="37" t="inlineStr">
        <is>
          <t>B011 Vision, B022 Versioning, B023 Stage 2 jobs</t>
        </is>
      </c>
      <c r="R13" s="37" t="inlineStr">
        <is>
          <t>—</t>
        </is>
      </c>
      <c r="S13" s="37" t="inlineStr">
        <is>
          <t>approve-stage1 dispatches Stage 2 via asyncio.create_task; fire-and-forget by design.</t>
        </is>
      </c>
    </row>
    <row r="14" ht="48" customHeight="1" s="28">
      <c r="A14" s="41" t="inlineStr">
        <is>
          <t>B011</t>
        </is>
      </c>
      <c r="B14" s="37" t="inlineStr">
        <is>
          <t>Vision (api/v1/vision.py)</t>
        </is>
      </c>
      <c r="C14" s="37" t="inlineStr">
        <is>
          <t>API</t>
        </is>
      </c>
      <c r="D14" s="37" t="inlineStr">
        <is>
          <t>Stage 2 visual enrichment: retrieve frames → caption → classify ENRICHES/REPEATS/CONFLICTS → merge</t>
        </is>
      </c>
      <c r="E14" s="37" t="inlineStr">
        <is>
          <t>POST /vision/{id} (also called from approve-stage1 background task)</t>
        </is>
      </c>
      <c r="F14" s="37" t="inlineStr">
        <is>
          <t>FrameCaption[], conflict claims</t>
        </is>
      </c>
      <c r="G14" s="37" t="inlineStr">
        <is>
          <t>S3 + PostgreSQL</t>
        </is>
      </c>
      <c r="H14" s="37" t="inlineStr">
        <is>
          <t>Yes</t>
        </is>
      </c>
      <c r="I14" s="37" t="inlineStr">
        <is>
          <t>Built</t>
        </is>
      </c>
      <c r="J14" s="37" t="inlineStr">
        <is>
          <t>Built</t>
        </is>
      </c>
      <c r="K14" s="37" t="inlineStr">
        <is>
          <t>P0</t>
        </is>
      </c>
      <c r="L14" s="37" t="inlineStr">
        <is>
          <t>Done</t>
        </is>
      </c>
      <c r="M14" s="37" t="inlineStr">
        <is>
          <t>XL</t>
        </is>
      </c>
      <c r="N14" s="41">
        <f>IF(M14="S",1,IF(M14="M",3,IF(M14="L",8,IF(M14="XL",15,0))))</f>
        <v/>
      </c>
      <c r="O14" s="48" t="n"/>
      <c r="P14" s="41">
        <f>IF(ISNUMBER(O14),O14,IF(ISNUMBER(N14),N14,0))</f>
        <v/>
      </c>
      <c r="Q14" s="37" t="inlineStr">
        <is>
          <t>B016 vision providers</t>
        </is>
      </c>
      <c r="R14" s="37" t="inlineStr">
        <is>
          <t>—</t>
        </is>
      </c>
      <c r="S14" s="37" t="inlineStr">
        <is>
          <t>Now invoked from Stage 2 job background task, not inline.</t>
        </is>
      </c>
    </row>
    <row r="15" ht="48" customHeight="1" s="28">
      <c r="A15" s="41" t="inlineStr">
        <is>
          <t>B012</t>
        </is>
      </c>
      <c r="B15" s="37" t="inlineStr">
        <is>
          <t>Export (api/v1/export.py)</t>
        </is>
      </c>
      <c r="C15" s="37" t="inlineStr">
        <is>
          <t>API</t>
        </is>
      </c>
      <c r="D15" s="37" t="inlineStr">
        <is>
          <t>Server-side DOCX (web portal) + on-device audit endpoint (B-09)</t>
        </is>
      </c>
      <c r="E15" s="37" t="inlineStr">
        <is>
          <t>POST /notes/{id}/export, /notes/{id}/export-audit</t>
        </is>
      </c>
      <c r="F15" s="37" t="inlineStr">
        <is>
          <t>Audit events; session state transitions</t>
        </is>
      </c>
      <c r="G15" s="37" t="inlineStr">
        <is>
          <t>DynamoDB + PostgreSQL</t>
        </is>
      </c>
      <c r="H15" s="37" t="inlineStr">
        <is>
          <t>Yes</t>
        </is>
      </c>
      <c r="I15" s="37" t="inlineStr">
        <is>
          <t>Built (B-09 audit endpoint added)</t>
        </is>
      </c>
      <c r="J15" s="37" t="inlineStr">
        <is>
          <t>Built</t>
        </is>
      </c>
      <c r="K15" s="37" t="inlineStr">
        <is>
          <t>P0</t>
        </is>
      </c>
      <c r="L15" s="37" t="inlineStr">
        <is>
          <t>Done</t>
        </is>
      </c>
      <c r="M15" s="37" t="inlineStr">
        <is>
          <t>M</t>
        </is>
      </c>
      <c r="N15" s="41">
        <f>IF(M15="S",1,IF(M15="M",3,IF(M15="L",8,IF(M15="XL",15,0))))</f>
        <v/>
      </c>
      <c r="O15" s="48" t="n"/>
      <c r="P15" s="41">
        <f>IF(ISNUMBER(O15),O15,IF(ISNUMBER(N15),N15,0))</f>
        <v/>
      </c>
      <c r="Q15" s="37" t="inlineStr">
        <is>
          <t>B020 Cleanup</t>
        </is>
      </c>
      <c r="R15" s="37" t="inlineStr">
        <is>
          <t>—</t>
        </is>
      </c>
      <c r="S15" s="37" t="inlineStr">
        <is>
          <t>Transitions REVIEW_COMPLETE → EXPORTED idempotently.</t>
        </is>
      </c>
    </row>
    <row r="16" ht="48" customHeight="1" s="28">
      <c r="A16" s="41" t="inlineStr">
        <is>
          <t>B013</t>
        </is>
      </c>
      <c r="B16" s="37" t="inlineStr">
        <is>
          <t>Health (api/v1/health.py)</t>
        </is>
      </c>
      <c r="C16" s="37" t="inlineStr">
        <is>
          <t>API</t>
        </is>
      </c>
      <c r="D16" s="37" t="inlineStr">
        <is>
          <t>Liveness probe for ECS/ALB</t>
        </is>
      </c>
      <c r="E16" s="37" t="inlineStr">
        <is>
          <t>GET /health</t>
        </is>
      </c>
      <c r="F16" s="37" t="inlineStr">
        <is>
          <t>—</t>
        </is>
      </c>
      <c r="G16" s="37" t="inlineStr">
        <is>
          <t>—</t>
        </is>
      </c>
      <c r="H16" s="37" t="inlineStr">
        <is>
          <t>No</t>
        </is>
      </c>
      <c r="I16" s="37" t="inlineStr">
        <is>
          <t>Built</t>
        </is>
      </c>
      <c r="J16" s="37" t="inlineStr">
        <is>
          <t>Built</t>
        </is>
      </c>
      <c r="K16" s="37" t="inlineStr">
        <is>
          <t>P1</t>
        </is>
      </c>
      <c r="L16" s="37" t="inlineStr">
        <is>
          <t>Done</t>
        </is>
      </c>
      <c r="M16" s="37" t="inlineStr">
        <is>
          <t>S</t>
        </is>
      </c>
      <c r="N16" s="41">
        <f>IF(M16="S",1,IF(M16="M",3,IF(M16="L",8,IF(M16="XL",15,0))))</f>
        <v/>
      </c>
      <c r="O16" s="48" t="n"/>
      <c r="P16" s="41">
        <f>IF(ISNUMBER(O16),O16,IF(ISNUMBER(N16),N16,0))</f>
        <v/>
      </c>
      <c r="Q16" s="37" t="inlineStr">
        <is>
          <t>—</t>
        </is>
      </c>
      <c r="R16" s="37" t="inlineStr">
        <is>
          <t>—</t>
        </is>
      </c>
      <c r="S16" s="37" t="inlineStr">
        <is>
          <t>—</t>
        </is>
      </c>
    </row>
    <row r="17" ht="48" customHeight="1" s="28">
      <c r="A17" s="41" t="inlineStr">
        <is>
          <t>B014</t>
        </is>
      </c>
      <c r="B17" s="37" t="inlineStr">
        <is>
          <t>WebSocket (api/v1/websocket.py)</t>
        </is>
      </c>
      <c r="C17" s="37" t="inlineStr">
        <is>
          <t>API</t>
        </is>
      </c>
      <c r="D17" s="37" t="inlineStr">
        <is>
          <t>Server → iOS push for note version updates</t>
        </is>
      </c>
      <c r="E17" s="37" t="inlineStr">
        <is>
          <t>WS /ws/{session_id}</t>
        </is>
      </c>
      <c r="F17" s="37" t="inlineStr">
        <is>
          <t>Latest note version</t>
        </is>
      </c>
      <c r="G17" s="37" t="inlineStr">
        <is>
          <t>Memory (per connection)</t>
        </is>
      </c>
      <c r="H17" s="37" t="inlineStr">
        <is>
          <t>Yes (JWT in connect param)</t>
        </is>
      </c>
      <c r="I17" s="37" t="inlineStr">
        <is>
          <t>Built</t>
        </is>
      </c>
      <c r="J17" s="37" t="inlineStr">
        <is>
          <t>Built</t>
        </is>
      </c>
      <c r="K17" s="37" t="inlineStr">
        <is>
          <t>P1</t>
        </is>
      </c>
      <c r="L17" s="37" t="inlineStr">
        <is>
          <t>Done</t>
        </is>
      </c>
      <c r="M17" s="37" t="inlineStr">
        <is>
          <t>M</t>
        </is>
      </c>
      <c r="N17" s="41">
        <f>IF(M17="S",1,IF(M17="M",3,IF(M17="L",8,IF(M17="XL",15,0))))</f>
        <v/>
      </c>
      <c r="O17" s="48" t="n"/>
      <c r="P17" s="41">
        <f>IF(ISNUMBER(O17),O17,IF(ISNUMBER(N17),N17,0))</f>
        <v/>
      </c>
      <c r="Q17" s="37" t="inlineStr">
        <is>
          <t>B010 Notes</t>
        </is>
      </c>
      <c r="R17" s="37" t="inlineStr">
        <is>
          <t>Stage 2 status push not yet on the wire — iOS polls.</t>
        </is>
      </c>
      <c r="S17" s="37" t="inlineStr">
        <is>
          <t>Polling fallback already in place; WS extension can land post-pilot.</t>
        </is>
      </c>
    </row>
    <row r="18" ht="48" customHeight="1" s="28">
      <c r="A18" s="41" t="inlineStr">
        <is>
          <t>B015</t>
        </is>
      </c>
      <c r="B18" s="37" t="inlineStr">
        <is>
          <t>Note-gen providers (modules/providers/note_gen/)</t>
        </is>
      </c>
      <c r="C18" s="37" t="inlineStr">
        <is>
          <t>Module</t>
        </is>
      </c>
      <c r="D18" s="37" t="inlineStr">
        <is>
          <t>Pluggable note generation: OpenAI, Anthropic, Gemini behind a single base interface</t>
        </is>
      </c>
      <c r="E18" s="37" t="inlineStr">
        <is>
          <t>openai.py, anthropic.py, gemini.py, base.py</t>
        </is>
      </c>
      <c r="F18" s="37" t="inlineStr">
        <is>
          <t>—</t>
        </is>
      </c>
      <c r="G18" s="37" t="inlineStr">
        <is>
          <t>—</t>
        </is>
      </c>
      <c r="H18" s="37" t="inlineStr">
        <is>
          <t>n/a</t>
        </is>
      </c>
      <c r="I18" s="37" t="inlineStr">
        <is>
          <t>Built</t>
        </is>
      </c>
      <c r="J18" s="37" t="inlineStr">
        <is>
          <t>Built</t>
        </is>
      </c>
      <c r="K18" s="37" t="inlineStr">
        <is>
          <t>P0</t>
        </is>
      </c>
      <c r="L18" s="37" t="inlineStr">
        <is>
          <t>Done</t>
        </is>
      </c>
      <c r="M18" s="37" t="inlineStr">
        <is>
          <t>XL</t>
        </is>
      </c>
      <c r="N18" s="41">
        <f>IF(M18="S",1,IF(M18="M",3,IF(M18="L",8,IF(M18="XL",15,0))))</f>
        <v/>
      </c>
      <c r="O18" s="48" t="n"/>
      <c r="P18" s="41">
        <f>IF(ISNUMBER(O18),O18,IF(ISNUMBER(N18),N18,0))</f>
        <v/>
      </c>
      <c r="Q18" s="37" t="inlineStr">
        <is>
          <t>B024 Provider registry</t>
        </is>
      </c>
      <c r="R18" s="37" t="inlineStr">
        <is>
          <t>Gemini occasionally truncates structured JSON — prefer OpenAI/Anthropic for autonomous runs.</t>
        </is>
      </c>
      <c r="S18" s="37" t="inlineStr">
        <is>
          <t>All routed through registry — no direct calls.</t>
        </is>
      </c>
    </row>
    <row r="19" ht="48" customHeight="1" s="28">
      <c r="A19" s="41" t="inlineStr">
        <is>
          <t>B016</t>
        </is>
      </c>
      <c r="B19" s="37" t="inlineStr">
        <is>
          <t>Vision providers (modules/providers/vision/)</t>
        </is>
      </c>
      <c r="C19" s="37" t="inlineStr">
        <is>
          <t>Module</t>
        </is>
      </c>
      <c r="D19" s="37" t="inlineStr">
        <is>
          <t>Vision providers for Stage 2 captioning</t>
        </is>
      </c>
      <c r="E19" s="37" t="inlineStr">
        <is>
          <t>openai.py, anthropic.py, gemini.py, shared.py</t>
        </is>
      </c>
      <c r="F19" s="37" t="inlineStr">
        <is>
          <t>—</t>
        </is>
      </c>
      <c r="G19" s="37" t="inlineStr">
        <is>
          <t>—</t>
        </is>
      </c>
      <c r="H19" s="37" t="inlineStr">
        <is>
          <t>n/a</t>
        </is>
      </c>
      <c r="I19" s="37" t="inlineStr">
        <is>
          <t>Built</t>
        </is>
      </c>
      <c r="J19" s="37" t="inlineStr">
        <is>
          <t>Built</t>
        </is>
      </c>
      <c r="K19" s="37" t="inlineStr">
        <is>
          <t>P0</t>
        </is>
      </c>
      <c r="L19" s="37" t="inlineStr">
        <is>
          <t>Done</t>
        </is>
      </c>
      <c r="M19" s="37" t="inlineStr">
        <is>
          <t>L</t>
        </is>
      </c>
      <c r="N19" s="41">
        <f>IF(M19="S",1,IF(M19="M",3,IF(M19="L",8,IF(M19="XL",15,0))))</f>
        <v/>
      </c>
      <c r="O19" s="48" t="n"/>
      <c r="P19" s="41">
        <f>IF(ISNUMBER(O19),O19,IF(ISNUMBER(N19),N19,0))</f>
        <v/>
      </c>
      <c r="Q19" s="37" t="inlineStr">
        <is>
          <t>B024 Provider registry</t>
        </is>
      </c>
      <c r="R19" s="37" t="inlineStr">
        <is>
          <t>—</t>
        </is>
      </c>
      <c r="S19" s="37" t="inlineStr">
        <is>
          <t>—</t>
        </is>
      </c>
    </row>
    <row r="20" ht="48" customHeight="1" s="28">
      <c r="A20" s="41" t="inlineStr">
        <is>
          <t>B017</t>
        </is>
      </c>
      <c r="B20" s="37" t="inlineStr">
        <is>
          <t>Transcription providers (modules/providers/transcription/)</t>
        </is>
      </c>
      <c r="C20" s="37" t="inlineStr">
        <is>
          <t>Module</t>
        </is>
      </c>
      <c r="D20" s="37" t="inlineStr">
        <is>
          <t>Whisper + AssemblyAI providers behind shared interface</t>
        </is>
      </c>
      <c r="E20" s="37" t="inlineStr">
        <is>
          <t>whisper.py, assemblyai.py</t>
        </is>
      </c>
      <c r="F20" s="37" t="inlineStr">
        <is>
          <t>TranscriptSegment[]</t>
        </is>
      </c>
      <c r="G20" s="37" t="inlineStr">
        <is>
          <t>—</t>
        </is>
      </c>
      <c r="H20" s="37" t="inlineStr">
        <is>
          <t>n/a</t>
        </is>
      </c>
      <c r="I20" s="37" t="inlineStr">
        <is>
          <t>Built</t>
        </is>
      </c>
      <c r="J20" s="37" t="inlineStr">
        <is>
          <t>Built</t>
        </is>
      </c>
      <c r="K20" s="37" t="inlineStr">
        <is>
          <t>P0</t>
        </is>
      </c>
      <c r="L20" s="37" t="inlineStr">
        <is>
          <t>Done</t>
        </is>
      </c>
      <c r="M20" s="37" t="inlineStr">
        <is>
          <t>M</t>
        </is>
      </c>
      <c r="N20" s="41">
        <f>IF(M20="S",1,IF(M20="M",3,IF(M20="L",8,IF(M20="XL",15,0))))</f>
        <v/>
      </c>
      <c r="O20" s="48" t="n"/>
      <c r="P20" s="41">
        <f>IF(ISNUMBER(O20),O20,IF(ISNUMBER(N20),N20,0))</f>
        <v/>
      </c>
      <c r="Q20" s="37" t="inlineStr">
        <is>
          <t>B024 Provider registry</t>
        </is>
      </c>
      <c r="R20" s="37" t="inlineStr">
        <is>
          <t>—</t>
        </is>
      </c>
      <c r="S20" s="37" t="inlineStr">
        <is>
          <t>—</t>
        </is>
      </c>
    </row>
    <row r="21" ht="48" customHeight="1" s="28">
      <c r="A21" s="41" t="inlineStr">
        <is>
          <t>B018</t>
        </is>
      </c>
      <c r="B21" s="37" t="inlineStr">
        <is>
          <t>Audit log service (modules/audit_log/)</t>
        </is>
      </c>
      <c r="C21" s="37" t="inlineStr">
        <is>
          <t>Module</t>
        </is>
      </c>
      <c r="D21" s="37" t="inlineStr">
        <is>
          <t>Append-only DynamoDB write of all session lifecycle, masking, export, purge, conflict events</t>
        </is>
      </c>
      <c r="E21" s="37" t="inlineStr">
        <is>
          <t>write_event, query_events</t>
        </is>
      </c>
      <c r="F21" s="37" t="inlineStr">
        <is>
          <t>Audit row (session, event_type, payload, ts)</t>
        </is>
      </c>
      <c r="G21" s="37" t="inlineStr">
        <is>
          <t>DynamoDB</t>
        </is>
      </c>
      <c r="H21" s="37" t="inlineStr">
        <is>
          <t>n/a</t>
        </is>
      </c>
      <c r="I21" s="37" t="inlineStr">
        <is>
          <t>Built</t>
        </is>
      </c>
      <c r="J21" s="37" t="inlineStr">
        <is>
          <t>Built</t>
        </is>
      </c>
      <c r="K21" s="37" t="inlineStr">
        <is>
          <t>P0</t>
        </is>
      </c>
      <c r="L21" s="37" t="inlineStr">
        <is>
          <t>Done</t>
        </is>
      </c>
      <c r="M21" s="37" t="inlineStr">
        <is>
          <t>M</t>
        </is>
      </c>
      <c r="N21" s="41">
        <f>IF(M21="S",1,IF(M21="M",3,IF(M21="L",8,IF(M21="XL",15,0))))</f>
        <v/>
      </c>
      <c r="O21" s="48" t="n"/>
      <c r="P21" s="41">
        <f>IF(ISNUMBER(O21),O21,IF(ISNUMBER(N21),N21,0))</f>
        <v/>
      </c>
      <c r="Q21" s="37" t="inlineStr">
        <is>
          <t>M007 DynamoDB</t>
        </is>
      </c>
      <c r="R21" s="37" t="inlineStr">
        <is>
          <t>—</t>
        </is>
      </c>
      <c r="S21" s="37" t="inlineStr">
        <is>
          <t>No update/delete operations. Ever.</t>
        </is>
      </c>
    </row>
    <row r="22" ht="48" customHeight="1" s="28">
      <c r="A22" s="41" t="inlineStr">
        <is>
          <t>B019</t>
        </is>
      </c>
      <c r="B22" s="37" t="inlineStr">
        <is>
          <t>PHI audit service (modules/phi_audit/)</t>
        </is>
      </c>
      <c r="C22" s="37" t="inlineStr">
        <is>
          <t>Module</t>
        </is>
      </c>
      <c r="D22" s="37" t="inlineStr">
        <is>
          <t>Backend redaction proof + Comprehend Medical scan on transcripts</t>
        </is>
      </c>
      <c r="E22" s="37" t="inlineStr">
        <is>
          <t>run_phi_audit</t>
        </is>
      </c>
      <c r="F22" s="37" t="inlineStr">
        <is>
          <t>PHI hits</t>
        </is>
      </c>
      <c r="G22" s="37" t="inlineStr">
        <is>
          <t>DynamoDB + S3</t>
        </is>
      </c>
      <c r="H22" s="37" t="inlineStr">
        <is>
          <t>n/a</t>
        </is>
      </c>
      <c r="I22" s="37" t="inlineStr">
        <is>
          <t>Built</t>
        </is>
      </c>
      <c r="J22" s="37" t="inlineStr">
        <is>
          <t>Built</t>
        </is>
      </c>
      <c r="K22" s="37" t="inlineStr">
        <is>
          <t>P0</t>
        </is>
      </c>
      <c r="L22" s="37" t="inlineStr">
        <is>
          <t>Done</t>
        </is>
      </c>
      <c r="M22" s="37" t="inlineStr">
        <is>
          <t>M</t>
        </is>
      </c>
      <c r="N22" s="41">
        <f>IF(M22="S",1,IF(M22="M",3,IF(M22="L",8,IF(M22="XL",15,0))))</f>
        <v/>
      </c>
      <c r="O22" s="48" t="n"/>
      <c r="P22" s="41">
        <f>IF(ISNUMBER(O22),O22,IF(ISNUMBER(N22),N22,0))</f>
        <v/>
      </c>
      <c r="Q22" s="37" t="inlineStr">
        <is>
          <t>M012 Comprehend Medical</t>
        </is>
      </c>
      <c r="R22" s="37" t="inlineStr">
        <is>
          <t>—</t>
        </is>
      </c>
      <c r="S22" s="37" t="inlineStr">
        <is>
          <t>Logs to audit on every hit; never writes PHI to logs.</t>
        </is>
      </c>
    </row>
    <row r="23" ht="48" customHeight="1" s="28">
      <c r="A23" s="41" t="inlineStr">
        <is>
          <t>B020</t>
        </is>
      </c>
      <c r="B23" s="37" t="inlineStr">
        <is>
          <t>Cleanup service (modules/cleanup/)</t>
        </is>
      </c>
      <c r="C23" s="37" t="inlineStr">
        <is>
          <t>Module</t>
        </is>
      </c>
      <c r="D23" s="37" t="inlineStr">
        <is>
          <t>S3 TTL + Lambda-style cleanup for raw audio/frames; purge confirmation</t>
        </is>
      </c>
      <c r="E23" s="37" t="inlineStr">
        <is>
          <t>schedule_purge, confirm_purge</t>
        </is>
      </c>
      <c r="F23" s="37" t="inlineStr">
        <is>
          <t>Cleanup audit events</t>
        </is>
      </c>
      <c r="G23" s="37" t="inlineStr">
        <is>
          <t>S3 + DynamoDB</t>
        </is>
      </c>
      <c r="H23" s="37" t="inlineStr">
        <is>
          <t>n/a</t>
        </is>
      </c>
      <c r="I23" s="37" t="inlineStr">
        <is>
          <t>Built</t>
        </is>
      </c>
      <c r="J23" s="37" t="inlineStr">
        <is>
          <t>Built</t>
        </is>
      </c>
      <c r="K23" s="37" t="inlineStr">
        <is>
          <t>P0</t>
        </is>
      </c>
      <c r="L23" s="37" t="inlineStr">
        <is>
          <t>Done</t>
        </is>
      </c>
      <c r="M23" s="37" t="inlineStr">
        <is>
          <t>M</t>
        </is>
      </c>
      <c r="N23" s="41">
        <f>IF(M23="S",1,IF(M23="M",3,IF(M23="L",8,IF(M23="XL",15,0))))</f>
        <v/>
      </c>
      <c r="O23" s="48" t="n"/>
      <c r="P23" s="41">
        <f>IF(ISNUMBER(O23),O23,IF(ISNUMBER(N23),N23,0))</f>
        <v/>
      </c>
      <c r="Q23" s="37" t="inlineStr">
        <is>
          <t>M006 S3, B018 audit-log</t>
        </is>
      </c>
      <c r="R23" s="37" t="inlineStr">
        <is>
          <t>End-to-end purge lifecycle (P0-05) still partly client-driven; iOS already calls export-audit which transitions to EXPORTED.</t>
        </is>
      </c>
      <c r="S23" s="37" t="inlineStr">
        <is>
          <t>Confirms raw data deletion every session.</t>
        </is>
      </c>
    </row>
    <row r="24" ht="48" customHeight="1" s="28">
      <c r="A24" s="41" t="inlineStr">
        <is>
          <t>B021</t>
        </is>
      </c>
      <c r="B24" s="37" t="inlineStr">
        <is>
          <t>Session state machine (modules/session/)</t>
        </is>
      </c>
      <c r="C24" s="37" t="inlineStr">
        <is>
          <t>Module</t>
        </is>
      </c>
      <c r="D24" s="37" t="inlineStr">
        <is>
          <t>10-state machine + transition guards + consent hard-block</t>
        </is>
      </c>
      <c r="E24" s="37" t="inlineStr">
        <is>
          <t>transition_session, InvalidTransitionError</t>
        </is>
      </c>
      <c r="F24" s="37" t="inlineStr">
        <is>
          <t>SessionModel</t>
        </is>
      </c>
      <c r="G24" s="37" t="inlineStr">
        <is>
          <t>PostgreSQL</t>
        </is>
      </c>
      <c r="H24" s="37" t="inlineStr">
        <is>
          <t>n/a</t>
        </is>
      </c>
      <c r="I24" s="37" t="inlineStr">
        <is>
          <t>Built</t>
        </is>
      </c>
      <c r="J24" s="37" t="inlineStr">
        <is>
          <t>Built</t>
        </is>
      </c>
      <c r="K24" s="37" t="inlineStr">
        <is>
          <t>P0</t>
        </is>
      </c>
      <c r="L24" s="37" t="inlineStr">
        <is>
          <t>Done</t>
        </is>
      </c>
      <c r="M24" s="37" t="inlineStr">
        <is>
          <t>L</t>
        </is>
      </c>
      <c r="N24" s="41">
        <f>IF(M24="S",1,IF(M24="M",3,IF(M24="L",8,IF(M24="XL",15,0))))</f>
        <v/>
      </c>
      <c r="O24" s="48" t="n"/>
      <c r="P24" s="41">
        <f>IF(ISNUMBER(O24),O24,IF(ISNUMBER(N24),N24,0))</f>
        <v/>
      </c>
      <c r="Q24" s="37" t="inlineStr">
        <is>
          <t>B018 audit-log</t>
        </is>
      </c>
      <c r="R24" s="37" t="inlineStr">
        <is>
          <t>—</t>
        </is>
      </c>
      <c r="S24" s="37" t="inlineStr">
        <is>
          <t>Hard-blocks record without consent_confirmed.</t>
        </is>
      </c>
    </row>
    <row r="25" ht="48" customHeight="1" s="28">
      <c r="A25" s="41" t="inlineStr">
        <is>
          <t>B022</t>
        </is>
      </c>
      <c r="B25" s="37" t="inlineStr">
        <is>
          <t>Note versioning service (modules/note_gen/)</t>
        </is>
      </c>
      <c r="C25" s="37" t="inlineStr">
        <is>
          <t>Module</t>
        </is>
      </c>
      <c r="D25" s="37" t="inlineStr">
        <is>
          <t>Immutable note versions per edit/resolve; approve marks vFinal</t>
        </is>
      </c>
      <c r="E25" s="37" t="inlineStr">
        <is>
          <t>create_note_version, get_latest_note, approve_note, edit_note, resolve_conflict</t>
        </is>
      </c>
      <c r="F25" s="37" t="inlineStr">
        <is>
          <t>NoteVersionModel, Note</t>
        </is>
      </c>
      <c r="G25" s="37" t="inlineStr">
        <is>
          <t>PostgreSQL</t>
        </is>
      </c>
      <c r="H25" s="37" t="inlineStr">
        <is>
          <t>n/a</t>
        </is>
      </c>
      <c r="I25" s="37" t="inlineStr">
        <is>
          <t>Built (M-09 source anchoring + M-10 resolve_conflict)</t>
        </is>
      </c>
      <c r="J25" s="37" t="inlineStr">
        <is>
          <t>Built</t>
        </is>
      </c>
      <c r="K25" s="37" t="inlineStr">
        <is>
          <t>P0</t>
        </is>
      </c>
      <c r="L25" s="37" t="inlineStr">
        <is>
          <t>Done</t>
        </is>
      </c>
      <c r="M25" s="37" t="inlineStr">
        <is>
          <t>L</t>
        </is>
      </c>
      <c r="N25" s="41">
        <f>IF(M25="S",1,IF(M25="M",3,IF(M25="L",8,IF(M25="XL",15,0))))</f>
        <v/>
      </c>
      <c r="O25" s="48" t="n"/>
      <c r="P25" s="41">
        <f>IF(ISNUMBER(O25),O25,IF(ISNUMBER(N25),N25,0))</f>
        <v/>
      </c>
      <c r="Q25" s="37" t="inlineStr">
        <is>
          <t>B010 Notes API</t>
        </is>
      </c>
      <c r="R25" s="37" t="inlineStr">
        <is>
          <t>—</t>
        </is>
      </c>
      <c r="S25" s="37" t="inlineStr">
        <is>
          <t>—</t>
        </is>
      </c>
    </row>
    <row r="26" ht="48" customHeight="1" s="28">
      <c r="A26" s="41" t="inlineStr">
        <is>
          <t>B023</t>
        </is>
      </c>
      <c r="B26" s="37" t="inlineStr">
        <is>
          <t>Stage 2 job queue (modules/vision/jobs.py)</t>
        </is>
      </c>
      <c r="C26" s="37" t="inlineStr">
        <is>
          <t>Module</t>
        </is>
      </c>
      <c r="D26" s="37" t="inlineStr">
        <is>
          <t>Async Stage 2 lifecycle: pending → running → completed/failed with non-clobberable terminals (B-06)</t>
        </is>
      </c>
      <c r="E26" s="37" t="inlineStr">
        <is>
          <t>create_job, mark_running/completed/failed, get_latest_job</t>
        </is>
      </c>
      <c r="F26" s="37" t="inlineStr">
        <is>
          <t>Stage2JobModel</t>
        </is>
      </c>
      <c r="G26" s="37" t="inlineStr">
        <is>
          <t>PostgreSQL</t>
        </is>
      </c>
      <c r="H26" s="37" t="inlineStr">
        <is>
          <t>n/a</t>
        </is>
      </c>
      <c r="I26" s="37" t="inlineStr">
        <is>
          <t>Built (B-06)</t>
        </is>
      </c>
      <c r="J26" s="37" t="inlineStr">
        <is>
          <t>Built</t>
        </is>
      </c>
      <c r="K26" s="37" t="inlineStr">
        <is>
          <t>P0</t>
        </is>
      </c>
      <c r="L26" s="37" t="inlineStr">
        <is>
          <t>Done</t>
        </is>
      </c>
      <c r="M26" s="37" t="inlineStr">
        <is>
          <t>M</t>
        </is>
      </c>
      <c r="N26" s="41">
        <f>IF(M26="S",1,IF(M26="M",3,IF(M26="L",8,IF(M26="XL",15,0))))</f>
        <v/>
      </c>
      <c r="O26" s="48" t="n"/>
      <c r="P26" s="41">
        <f>IF(ISNUMBER(O26),O26,IF(ISNUMBER(N26),N26,0))</f>
        <v/>
      </c>
      <c r="Q26" s="37" t="inlineStr">
        <is>
          <t>B011 Vision</t>
        </is>
      </c>
      <c r="R26" s="37" t="inlineStr">
        <is>
          <t>Fire-and-forget task is dropped on process restart; no recovery sweep yet.</t>
        </is>
      </c>
      <c r="S26" s="37" t="inlineStr">
        <is>
          <t>Recovery sweep is a post-pilot polish.</t>
        </is>
      </c>
    </row>
    <row r="27" ht="48" customHeight="1" s="28">
      <c r="A27" s="41" t="inlineStr">
        <is>
          <t>B024</t>
        </is>
      </c>
      <c r="B27" s="37" t="inlineStr">
        <is>
          <t>Provider registry (modules/config/provider_registry.py)</t>
        </is>
      </c>
      <c r="C27" s="37" t="inlineStr">
        <is>
          <t>Module</t>
        </is>
      </c>
      <c r="D27" s="37" t="inlineStr">
        <is>
          <t>Type-safe registry — never call AI providers directly</t>
        </is>
      </c>
      <c r="E27" s="37" t="inlineStr">
        <is>
          <t>get_note_provider, get_vision_provider, get_transcription_provider</t>
        </is>
      </c>
      <c r="F27" s="37" t="inlineStr">
        <is>
          <t>ProviderConfig</t>
        </is>
      </c>
      <c r="G27" s="37" t="inlineStr">
        <is>
          <t>—</t>
        </is>
      </c>
      <c r="H27" s="37" t="inlineStr">
        <is>
          <t>n/a</t>
        </is>
      </c>
      <c r="I27" s="37" t="inlineStr">
        <is>
          <t>Built</t>
        </is>
      </c>
      <c r="J27" s="37" t="inlineStr">
        <is>
          <t>Built</t>
        </is>
      </c>
      <c r="K27" s="37" t="inlineStr">
        <is>
          <t>P0</t>
        </is>
      </c>
      <c r="L27" s="37" t="inlineStr">
        <is>
          <t>Done</t>
        </is>
      </c>
      <c r="M27" s="37" t="inlineStr">
        <is>
          <t>M</t>
        </is>
      </c>
      <c r="N27" s="41">
        <f>IF(M27="S",1,IF(M27="M",3,IF(M27="L",8,IF(M27="XL",15,0))))</f>
        <v/>
      </c>
      <c r="O27" s="48" t="n"/>
      <c r="P27" s="41">
        <f>IF(ISNUMBER(O27),O27,IF(ISNUMBER(N27),N27,0))</f>
        <v/>
      </c>
      <c r="Q27" s="37" t="inlineStr">
        <is>
          <t>M008 AppConfig</t>
        </is>
      </c>
      <c r="R27" s="37" t="inlineStr">
        <is>
          <t>—</t>
        </is>
      </c>
      <c r="S27" s="37" t="inlineStr">
        <is>
          <t>Drives &lt; 30 s provider swap via AppConfig change.</t>
        </is>
      </c>
    </row>
    <row r="28" ht="48" customHeight="1" s="28">
      <c r="A28" s="41" t="inlineStr">
        <is>
          <t>B025</t>
        </is>
      </c>
      <c r="B28" s="37" t="inlineStr">
        <is>
          <t>Alembic migrations</t>
        </is>
      </c>
      <c r="C28" s="37" t="inlineStr">
        <is>
          <t>Module</t>
        </is>
      </c>
      <c r="D28" s="37" t="inlineStr">
        <is>
          <t>Production DB schema bootstrap + evolution (P0-04)</t>
        </is>
      </c>
      <c r="E28" s="37" t="inlineStr">
        <is>
          <t>alembic init, versions/*.py for each model</t>
        </is>
      </c>
      <c r="F28" s="37" t="inlineStr">
        <is>
          <t>All SQLA models</t>
        </is>
      </c>
      <c r="G28" s="37" t="inlineStr">
        <is>
          <t>PostgreSQL</t>
        </is>
      </c>
      <c r="H28" s="37" t="inlineStr">
        <is>
          <t>n/a</t>
        </is>
      </c>
      <c r="I28" s="37" t="inlineStr">
        <is>
          <t>Not started — create_all only</t>
        </is>
      </c>
      <c r="J28" s="37" t="inlineStr">
        <is>
          <t>Initial migration covering UserModel, SessionModel, TranscriptModel, NoteVersionModel, PilotMetricsModel, Stage2JobModel, CustomTemplateModel, PhysicianProfileModel.</t>
        </is>
      </c>
      <c r="K28" s="37" t="inlineStr">
        <is>
          <t>P0</t>
        </is>
      </c>
      <c r="L28" s="37" t="inlineStr">
        <is>
          <t>Done</t>
        </is>
      </c>
      <c r="M28" s="37" t="inlineStr">
        <is>
          <t>L</t>
        </is>
      </c>
      <c r="N28" s="41">
        <f>IF(M28="S",1,IF(M28="M",3,IF(M28="L",8,IF(M28="XL",15,0))))</f>
        <v/>
      </c>
      <c r="O28" s="48" t="n"/>
      <c r="P28" s="41">
        <f>IF(ISNUMBER(O28),O28,IF(ISNUMBER(N28),N28,0))</f>
        <v/>
      </c>
      <c r="Q28" s="37" t="inlineStr">
        <is>
          <t>All B-* models</t>
        </is>
      </c>
      <c r="R28" s="37" t="inlineStr">
        <is>
          <t>Blocks any prod-like deploy.</t>
        </is>
      </c>
      <c r="S28" s="37" t="inlineStr">
        <is>
          <t>Use --autogenerate as starting point, then hand-tune for index/constraint ordering.</t>
        </is>
      </c>
    </row>
    <row r="29" ht="48" customHeight="1" s="28">
      <c r="A29" s="41" t="inlineStr">
        <is>
          <t>B026</t>
        </is>
      </c>
      <c r="B29" s="37" t="inlineStr">
        <is>
          <t>Persistent users + admin (P0-06)</t>
        </is>
      </c>
      <c r="C29" s="37" t="inlineStr">
        <is>
          <t>Module</t>
        </is>
      </c>
      <c r="D29" s="37" t="inlineStr">
        <is>
          <t>Replace _MOCK_USERS with SQL UserModel CRUD + Cognito sync</t>
        </is>
      </c>
      <c r="E29" s="37" t="inlineStr">
        <is>
          <t>user CRUD, role change, deactivate</t>
        </is>
      </c>
      <c r="F29" s="37" t="inlineStr">
        <is>
          <t>UserModel</t>
        </is>
      </c>
      <c r="G29" s="37" t="inlineStr">
        <is>
          <t>PostgreSQL + Cognito</t>
        </is>
      </c>
      <c r="H29" s="37" t="inlineStr">
        <is>
          <t>Yes</t>
        </is>
      </c>
      <c r="I29" s="37" t="inlineStr">
        <is>
          <t>Mock in-memory store</t>
        </is>
      </c>
      <c r="J29" s="37" t="inlineStr">
        <is>
          <t>Real persistence + audit on every role change.</t>
        </is>
      </c>
      <c r="K29" s="37" t="inlineStr">
        <is>
          <t>P0</t>
        </is>
      </c>
      <c r="L29" s="37" t="inlineStr">
        <is>
          <t>Done</t>
        </is>
      </c>
      <c r="M29" s="37" t="inlineStr">
        <is>
          <t>L</t>
        </is>
      </c>
      <c r="N29" s="41">
        <f>IF(M29="S",1,IF(M29="M",3,IF(M29="L",8,IF(M29="XL",15,0))))</f>
        <v/>
      </c>
      <c r="O29" s="48" t="n"/>
      <c r="P29" s="41">
        <f>IF(ISNUMBER(O29),O29,IF(ISNUMBER(N29),N29,0))</f>
        <v/>
      </c>
      <c r="Q29" s="37" t="inlineStr">
        <is>
          <t>B001 Auth, B025 migrations</t>
        </is>
      </c>
      <c r="R29" s="37" t="inlineStr">
        <is>
          <t>User edits must survive restart for compliance pre-pilot.</t>
        </is>
      </c>
      <c r="S29" s="37" t="inlineStr">
        <is>
          <t>—</t>
        </is>
      </c>
    </row>
    <row r="30" ht="48" customHeight="1" s="28">
      <c r="A30" s="41" t="inlineStr">
        <is>
          <t>B027</t>
        </is>
      </c>
      <c r="B30" s="37" t="inlineStr">
        <is>
          <t>Persistent eval scoring (B-08)</t>
        </is>
      </c>
      <c r="C30" s="37" t="inlineStr">
        <is>
          <t>Module</t>
        </is>
      </c>
      <c r="D30" s="37" t="inlineStr">
        <is>
          <t>Persist eval review scores + frame/transcript/note linkage</t>
        </is>
      </c>
      <c r="E30" s="37" t="inlineStr">
        <is>
          <t>create_eval_record, list_pending, save_score</t>
        </is>
      </c>
      <c r="F30" s="37" t="inlineStr">
        <is>
          <t>EvalRecordModel (new)</t>
        </is>
      </c>
      <c r="G30" s="37" t="inlineStr">
        <is>
          <t>PostgreSQL + S3</t>
        </is>
      </c>
      <c r="H30" s="37" t="inlineStr">
        <is>
          <t>Yes</t>
        </is>
      </c>
      <c r="I30" s="37" t="inlineStr">
        <is>
          <t>In-memory stub</t>
        </is>
      </c>
      <c r="J30" s="37" t="inlineStr">
        <is>
          <t>Persisted scoring + retention approval gate for eval team.</t>
        </is>
      </c>
      <c r="K30" s="37" t="inlineStr">
        <is>
          <t>P1</t>
        </is>
      </c>
      <c r="L30" s="37" t="inlineStr">
        <is>
          <t>Done</t>
        </is>
      </c>
      <c r="M30" s="37" t="inlineStr">
        <is>
          <t>M</t>
        </is>
      </c>
      <c r="N30" s="41">
        <f>IF(M30="S",1,IF(M30="M",3,IF(M30="L",8,IF(M30="XL",15,0))))</f>
        <v/>
      </c>
      <c r="O30" s="48" t="n"/>
      <c r="P30" s="41">
        <f>IF(ISNUMBER(O30),O30,IF(ISNUMBER(N30),N30,0))</f>
        <v/>
      </c>
      <c r="Q30" s="37" t="inlineStr">
        <is>
          <t>B025 migrations</t>
        </is>
      </c>
      <c r="R30" s="37" t="inlineStr">
        <is>
          <t>—</t>
        </is>
      </c>
      <c r="S30" s="37" t="inlineStr">
        <is>
          <t>Eval Team + CTO access only.</t>
        </is>
      </c>
    </row>
    <row r="31" ht="48" customHeight="1" s="28">
      <c r="A31" s="41" t="inlineStr">
        <is>
          <t>B028</t>
        </is>
      </c>
      <c r="B31" s="37" t="inlineStr">
        <is>
          <t>End-to-end smoke test (P0-07)</t>
        </is>
      </c>
      <c r="C31" s="37" t="inlineStr">
        <is>
          <t>Module</t>
        </is>
      </c>
      <c r="D31" s="37" t="inlineStr">
        <is>
          <t>One-command verification of consent → record → Stage 1 → Stage 2 → review → approve → export → purge</t>
        </is>
      </c>
      <c r="E31" s="37" t="inlineStr">
        <is>
          <t>scripts/e2e_smoke.py, pytest integration suite</t>
        </is>
      </c>
      <c r="F31" s="37" t="inlineStr">
        <is>
          <t>—</t>
        </is>
      </c>
      <c r="G31" s="37" t="inlineStr">
        <is>
          <t>—</t>
        </is>
      </c>
      <c r="H31" s="37" t="inlineStr">
        <is>
          <t>n/a</t>
        </is>
      </c>
      <c r="I31" s="37" t="inlineStr">
        <is>
          <t>Not started</t>
        </is>
      </c>
      <c r="J31" s="37" t="inlineStr">
        <is>
          <t>Single docker-compose-driven test that exercises every audit-log event the pilot will produce.</t>
        </is>
      </c>
      <c r="K31" s="37" t="inlineStr">
        <is>
          <t>P0</t>
        </is>
      </c>
      <c r="L31" s="37" t="inlineStr">
        <is>
          <t>Done</t>
        </is>
      </c>
      <c r="M31" s="37" t="inlineStr">
        <is>
          <t>M</t>
        </is>
      </c>
      <c r="N31" s="41">
        <f>IF(M31="S",1,IF(M31="M",3,IF(M31="L",8,IF(M31="XL",15,0))))</f>
        <v/>
      </c>
      <c r="O31" s="48" t="n"/>
      <c r="P31" s="41">
        <f>IF(ISNUMBER(O31),O31,IF(ISNUMBER(N31),N31,0))</f>
        <v/>
      </c>
      <c r="Q31" s="37" t="inlineStr">
        <is>
          <t>All backend modules</t>
        </is>
      </c>
      <c r="R31" s="37" t="inlineStr">
        <is>
          <t>Needed for pilot acceptance.</t>
        </is>
      </c>
      <c r="S31" s="37" t="inlineStr">
        <is>
          <t>Use existing seed_dev + LocalStack init script.</t>
        </is>
      </c>
    </row>
    <row r="32" ht="48" customHeight="1" s="28">
      <c r="A32" s="41" t="inlineStr">
        <is>
          <t>B029</t>
        </is>
      </c>
      <c r="B32" s="37" t="inlineStr">
        <is>
          <t>Patient + chart (B-01, deferred)</t>
        </is>
      </c>
      <c r="C32" s="37" t="inlineStr">
        <is>
          <t>Module</t>
        </is>
      </c>
      <c r="D32" s="37" t="inlineStr">
        <is>
          <t>Patient model + chart workspace relation</t>
        </is>
      </c>
      <c r="E32" s="37" t="inlineStr">
        <is>
          <t>patient CRUD, chart link</t>
        </is>
      </c>
      <c r="F32" s="37" t="inlineStr">
        <is>
          <t>PatientModel</t>
        </is>
      </c>
      <c r="G32" s="37" t="inlineStr">
        <is>
          <t>PostgreSQL</t>
        </is>
      </c>
      <c r="H32" s="37" t="inlineStr">
        <is>
          <t>Yes</t>
        </is>
      </c>
      <c r="I32" s="37" t="inlineStr">
        <is>
          <t>Not started</t>
        </is>
      </c>
      <c r="J32" s="37" t="inlineStr">
        <is>
          <t>Deferred post-pilot; web portal feature.</t>
        </is>
      </c>
      <c r="K32" s="37" t="inlineStr">
        <is>
          <t>P3</t>
        </is>
      </c>
      <c r="L32" s="37" t="inlineStr">
        <is>
          <t>Not Started</t>
        </is>
      </c>
      <c r="M32" s="37" t="inlineStr">
        <is>
          <t>L</t>
        </is>
      </c>
      <c r="N32" s="41">
        <f>IF(M32="S",1,IF(M32="M",3,IF(M32="L",8,IF(M32="XL",15,0))))</f>
        <v/>
      </c>
      <c r="O32" s="48" t="n"/>
      <c r="P32" s="41">
        <f>IF(ISNUMBER(O32),O32,IF(ISNUMBER(N32),N32,0))</f>
        <v/>
      </c>
      <c r="Q32" s="37" t="inlineStr">
        <is>
          <t>B025 migrations</t>
        </is>
      </c>
      <c r="R32" s="37" t="inlineStr">
        <is>
          <t>Confirm scoping with pilot — clinic-mode MVP doesn't need a patient model.</t>
        </is>
      </c>
      <c r="S32" s="37" t="inlineStr">
        <is>
          <t>—</t>
        </is>
      </c>
    </row>
    <row r="33" ht="48" customHeight="1" s="28">
      <c r="A33" s="41" t="inlineStr">
        <is>
          <t>B030</t>
        </is>
      </c>
      <c r="B33" s="37" t="inlineStr">
        <is>
          <t>Schedule API (B-02, deferred)</t>
        </is>
      </c>
      <c r="C33" s="37" t="inlineStr">
        <is>
          <t>Module</t>
        </is>
      </c>
      <c r="D33" s="37" t="inlineStr">
        <is>
          <t>Appointment + visit-type model with session start link</t>
        </is>
      </c>
      <c r="E33" s="37" t="inlineStr">
        <is>
          <t>appointment CRUD, start-session-from-appointment</t>
        </is>
      </c>
      <c r="F33" s="37" t="inlineStr">
        <is>
          <t>AppointmentModel</t>
        </is>
      </c>
      <c r="G33" s="37" t="inlineStr">
        <is>
          <t>PostgreSQL</t>
        </is>
      </c>
      <c r="H33" s="37" t="inlineStr">
        <is>
          <t>Yes</t>
        </is>
      </c>
      <c r="I33" s="37" t="inlineStr">
        <is>
          <t>Not started</t>
        </is>
      </c>
      <c r="J33" s="37" t="inlineStr">
        <is>
          <t>Deferred post-pilot.</t>
        </is>
      </c>
      <c r="K33" s="37" t="inlineStr">
        <is>
          <t>P3</t>
        </is>
      </c>
      <c r="L33" s="37" t="inlineStr">
        <is>
          <t>Not Started</t>
        </is>
      </c>
      <c r="M33" s="37" t="inlineStr">
        <is>
          <t>L</t>
        </is>
      </c>
      <c r="N33" s="41">
        <f>IF(M33="S",1,IF(M33="M",3,IF(M33="L",8,IF(M33="XL",15,0))))</f>
        <v/>
      </c>
      <c r="O33" s="48" t="n"/>
      <c r="P33" s="41">
        <f>IF(ISNUMBER(O33),O33,IF(ISNUMBER(N33),N33,0))</f>
        <v/>
      </c>
      <c r="Q33" s="37" t="inlineStr">
        <is>
          <t>B029 Patient</t>
        </is>
      </c>
      <c r="R33" s="37" t="inlineStr">
        <is>
          <t>—</t>
        </is>
      </c>
      <c r="S33" s="37" t="inlineStr">
        <is>
          <t>—</t>
        </is>
      </c>
    </row>
    <row r="35" ht="15" customHeight="1" s="28">
      <c r="M35" s="53" t="inlineStr">
        <is>
          <t>TOTAL (days)</t>
        </is>
      </c>
      <c r="N35" s="54">
        <f>SUM(N4:N33)</f>
        <v/>
      </c>
      <c r="P35" s="54">
        <f>SUM(P4:P33)</f>
        <v/>
      </c>
    </row>
    <row r="36" ht="15" customHeight="1" s="28">
      <c r="M36" s="53" t="inlineStr">
        <is>
          <t>REMAINING (days, excl. Done)</t>
        </is>
      </c>
      <c r="P36" s="54">
        <f>SUMIFS(P4:P33,L4:L33,"&lt;&gt;Done")</f>
        <v/>
      </c>
    </row>
  </sheetData>
  <mergeCells count="1">
    <mergeCell ref="A1:S1"/>
  </mergeCells>
  <dataValidations count="5">
    <dataValidation sqref="L29:L33" showDropDown="0" showInputMessage="0" showErrorMessage="0" allowBlank="1" type="list" errorStyle="stop" operator="between">
      <formula1>"Not Started,In Progress,Blocked,Done"</formula1>
      <formula2>0</formula2>
    </dataValidation>
    <dataValidation sqref="M4:N28 M29:M33" showDropDown="0" showInputMessage="0" showErrorMessage="0" allowBlank="1" type="list" errorStyle="stop" operator="between">
      <formula1>"S,M,L,XL"</formula1>
      <formula2>0</formula2>
    </dataValidation>
    <dataValidation sqref="J4:L28 K29:K33" showDropDown="0" showInputMessage="0" showErrorMessage="0" allowBlank="1" type="list" errorStyle="stop" operator="between">
      <formula1>"Must,Should,Could,Won't"</formula1>
      <formula2>0</formula2>
    </dataValidation>
    <dataValidation sqref="H4:H33" showDropDown="0" showInputMessage="0" showErrorMessage="0" allowBlank="1" type="list" errorStyle="stop" operator="between">
      <formula1>"Yes,No"</formula1>
      <formula2>0</formula2>
    </dataValidation>
    <dataValidation sqref="C4:C33" showDropDown="0" showInputMessage="0" showErrorMessage="0" allowBlank="1" type="list" errorStyle="stop" operator="between">
      <formula1>"REST API,GraphQL,Worker,Scheduled Job,gRPC,Auth Service,Gateway,Library/SDK,Other"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T3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6" customWidth="1" style="27" min="1" max="1"/>
    <col width="26" customWidth="1" style="27" min="2" max="2"/>
    <col width="16" customWidth="1" style="27" min="3" max="3"/>
    <col width="28" customWidth="1" style="27" min="4" max="4"/>
    <col width="18" customWidth="1" style="27" min="5" max="7"/>
    <col width="14" customWidth="1" style="27" min="8" max="8"/>
    <col width="22" customWidth="1" style="27" min="9" max="9"/>
    <col width="30" customWidth="1" style="27" min="10" max="11"/>
    <col width="10" customWidth="1" style="27" min="12" max="12"/>
    <col width="14" customWidth="1" style="27" min="13" max="13"/>
    <col width="12" customWidth="1" style="27" min="14" max="14"/>
    <col width="14" customWidth="1" style="27" min="15" max="15"/>
    <col width="16" customWidth="1" style="27" min="16" max="16"/>
    <col width="14" customWidth="1" style="27" min="17" max="17"/>
    <col width="24" customWidth="1" style="27" min="18" max="18"/>
    <col width="28" customWidth="1" style="27" min="19" max="20"/>
  </cols>
  <sheetData>
    <row r="1" ht="31.5" customHeight="1" s="28">
      <c r="A1" s="29" t="inlineStr">
        <is>
          <t>Microservices, Wiring &amp; Integrations</t>
        </is>
      </c>
    </row>
    <row r="2" ht="7.5" customHeight="1" s="28"/>
    <row r="3" ht="31.5" customHeight="1" s="28">
      <c r="A3" s="40" t="inlineStr">
        <is>
          <t>ID</t>
        </is>
      </c>
      <c r="B3" s="40" t="inlineStr">
        <is>
          <t>Component / Integration Name</t>
        </is>
      </c>
      <c r="C3" s="40" t="inlineStr">
        <is>
          <t>Kind</t>
        </is>
      </c>
      <c r="D3" s="40" t="inlineStr">
        <is>
          <t>Purpose</t>
        </is>
      </c>
      <c r="E3" s="40" t="inlineStr">
        <is>
          <t>From (consumer)</t>
        </is>
      </c>
      <c r="F3" s="40" t="inlineStr">
        <is>
          <t>To (provider)</t>
        </is>
      </c>
      <c r="G3" s="40" t="inlineStr">
        <is>
          <t>Protocol / Transport</t>
        </is>
      </c>
      <c r="H3" s="40" t="inlineStr">
        <is>
          <t>External? (3rd party)</t>
        </is>
      </c>
      <c r="I3" s="40" t="inlineStr">
        <is>
          <t>Auth / Secrets needed</t>
        </is>
      </c>
      <c r="J3" s="40" t="inlineStr">
        <is>
          <t>Current State</t>
        </is>
      </c>
      <c r="K3" s="40" t="inlineStr">
        <is>
          <t>Target State for Demo</t>
        </is>
      </c>
      <c r="L3" s="40" t="inlineStr">
        <is>
          <t>Priority</t>
        </is>
      </c>
      <c r="M3" s="40" t="inlineStr">
        <is>
          <t>Status</t>
        </is>
      </c>
      <c r="N3" s="40" t="inlineStr">
        <is>
          <t>Complexity</t>
        </is>
      </c>
      <c r="O3" s="40" t="inlineStr">
        <is>
          <t>Estimated Days</t>
        </is>
      </c>
      <c r="P3" s="40" t="inlineStr">
        <is>
          <t>Manual Override (Days)</t>
        </is>
      </c>
      <c r="Q3" s="40" t="inlineStr">
        <is>
          <t>Effective Days</t>
        </is>
      </c>
      <c r="R3" s="40" t="inlineStr">
        <is>
          <t>Dependencies</t>
        </is>
      </c>
      <c r="S3" s="40" t="inlineStr">
        <is>
          <t>Risks / Open Questions</t>
        </is>
      </c>
      <c r="T3" s="40" t="inlineStr">
        <is>
          <t>Notes</t>
        </is>
      </c>
    </row>
    <row r="4" ht="48" customHeight="1" s="28">
      <c r="A4" s="41" t="inlineStr">
        <is>
          <t>M001</t>
        </is>
      </c>
      <c r="B4" s="37" t="inlineStr">
        <is>
          <t>OpenAI Whisper</t>
        </is>
      </c>
      <c r="C4" s="37" t="inlineStr">
        <is>
          <t>AI provider</t>
        </is>
      </c>
      <c r="D4" s="37" t="inlineStr">
        <is>
          <t>Audio → timestamped transcript</t>
        </is>
      </c>
      <c r="E4" s="37" t="inlineStr">
        <is>
          <t>Backend (B007 Transcription)</t>
        </is>
      </c>
      <c r="F4" s="37" t="inlineStr">
        <is>
          <t>OpenAI Whisper API + local whisper webservice fallback</t>
        </is>
      </c>
      <c r="G4" s="37" t="inlineStr">
        <is>
          <t>HTTPS REST</t>
        </is>
      </c>
      <c r="H4" s="37" t="inlineStr">
        <is>
          <t>Yes</t>
        </is>
      </c>
      <c r="I4" s="37" t="inlineStr">
        <is>
          <t>API key (Secrets Manager)</t>
        </is>
      </c>
      <c r="J4" s="37" t="inlineStr">
        <is>
          <t>Wired</t>
        </is>
      </c>
      <c r="K4" s="37" t="inlineStr">
        <is>
          <t>Wired</t>
        </is>
      </c>
      <c r="L4" s="37" t="inlineStr">
        <is>
          <t>P0</t>
        </is>
      </c>
      <c r="M4" s="37" t="inlineStr">
        <is>
          <t>Done</t>
        </is>
      </c>
      <c r="N4" s="37" t="inlineStr">
        <is>
          <t>M</t>
        </is>
      </c>
      <c r="O4" s="41">
        <f>IF(N4="S",1,IF(N4="M",3,IF(N4="L",8,IF(N4="XL",15,0))))</f>
        <v/>
      </c>
      <c r="P4" s="48" t="n"/>
      <c r="Q4" s="41">
        <f>IF(ISNUMBER(P4),P4,IF(ISNUMBER(O4),O4,0))</f>
        <v/>
      </c>
      <c r="R4" s="37" t="inlineStr">
        <is>
          <t>M013 Secrets Manager</t>
        </is>
      </c>
      <c r="S4" s="37" t="inlineStr">
        <is>
          <t>Cost-control on long encounters — clip to MVP-relevant ranges.</t>
        </is>
      </c>
      <c r="T4" s="37" t="inlineStr">
        <is>
          <t>Local docker whisper provides offline dev path.</t>
        </is>
      </c>
    </row>
    <row r="5" ht="48" customHeight="1" s="28">
      <c r="A5" s="41" t="inlineStr">
        <is>
          <t>M002</t>
        </is>
      </c>
      <c r="B5" s="37" t="inlineStr">
        <is>
          <t>AssemblyAI</t>
        </is>
      </c>
      <c r="C5" s="37" t="inlineStr">
        <is>
          <t>AI provider</t>
        </is>
      </c>
      <c r="D5" s="37" t="inlineStr">
        <is>
          <t>Fallback transcription provider with diarization</t>
        </is>
      </c>
      <c r="E5" s="37" t="inlineStr">
        <is>
          <t>Backend (B007)</t>
        </is>
      </c>
      <c r="F5" s="37" t="inlineStr">
        <is>
          <t>AssemblyAI</t>
        </is>
      </c>
      <c r="G5" s="37" t="inlineStr">
        <is>
          <t>HTTPS REST</t>
        </is>
      </c>
      <c r="H5" s="37" t="inlineStr">
        <is>
          <t>Yes</t>
        </is>
      </c>
      <c r="I5" s="37" t="inlineStr">
        <is>
          <t>API key</t>
        </is>
      </c>
      <c r="J5" s="37" t="inlineStr">
        <is>
          <t>Wired</t>
        </is>
      </c>
      <c r="K5" s="37" t="inlineStr">
        <is>
          <t>Wired</t>
        </is>
      </c>
      <c r="L5" s="37" t="inlineStr">
        <is>
          <t>P1</t>
        </is>
      </c>
      <c r="M5" s="37" t="inlineStr">
        <is>
          <t>Done</t>
        </is>
      </c>
      <c r="N5" s="37" t="inlineStr">
        <is>
          <t>M</t>
        </is>
      </c>
      <c r="O5" s="41">
        <f>IF(N5="S",1,IF(N5="M",3,IF(N5="L",8,IF(N5="XL",15,0))))</f>
        <v/>
      </c>
      <c r="P5" s="48" t="n"/>
      <c r="Q5" s="41">
        <f>IF(ISNUMBER(P5),P5,IF(ISNUMBER(O5),O5,0))</f>
        <v/>
      </c>
      <c r="R5" s="37" t="inlineStr">
        <is>
          <t>M013 Secrets Manager</t>
        </is>
      </c>
      <c r="S5" s="37" t="inlineStr">
        <is>
          <t>—</t>
        </is>
      </c>
      <c r="T5" s="37" t="inlineStr">
        <is>
          <t>Selected via AppConfig at runtime.</t>
        </is>
      </c>
    </row>
    <row r="6" ht="48" customHeight="1" s="28">
      <c r="A6" s="41" t="inlineStr">
        <is>
          <t>M003</t>
        </is>
      </c>
      <c r="B6" s="37" t="inlineStr">
        <is>
          <t>OpenAI GPT-4o</t>
        </is>
      </c>
      <c r="C6" s="37" t="inlineStr">
        <is>
          <t>AI provider</t>
        </is>
      </c>
      <c r="D6" s="37" t="inlineStr">
        <is>
          <t>Note generation (Stage 1 + Stage 2 merge)</t>
        </is>
      </c>
      <c r="E6" s="37" t="inlineStr">
        <is>
          <t>Backend (B010 Notes)</t>
        </is>
      </c>
      <c r="F6" s="37" t="inlineStr">
        <is>
          <t>OpenAI Chat Completions</t>
        </is>
      </c>
      <c r="G6" s="37" t="inlineStr">
        <is>
          <t>HTTPS REST</t>
        </is>
      </c>
      <c r="H6" s="37" t="inlineStr">
        <is>
          <t>Yes</t>
        </is>
      </c>
      <c r="I6" s="37" t="inlineStr">
        <is>
          <t>API key</t>
        </is>
      </c>
      <c r="J6" s="37" t="inlineStr">
        <is>
          <t>Wired</t>
        </is>
      </c>
      <c r="K6" s="37" t="inlineStr">
        <is>
          <t>Wired</t>
        </is>
      </c>
      <c r="L6" s="37" t="inlineStr">
        <is>
          <t>P0</t>
        </is>
      </c>
      <c r="M6" s="37" t="inlineStr">
        <is>
          <t>Done</t>
        </is>
      </c>
      <c r="N6" s="37" t="inlineStr">
        <is>
          <t>M</t>
        </is>
      </c>
      <c r="O6" s="41">
        <f>IF(N6="S",1,IF(N6="M",3,IF(N6="L",8,IF(N6="XL",15,0))))</f>
        <v/>
      </c>
      <c r="P6" s="48" t="n"/>
      <c r="Q6" s="41">
        <f>IF(ISNUMBER(P6),P6,IF(ISNUMBER(O6),O6,0))</f>
        <v/>
      </c>
      <c r="R6" s="37" t="inlineStr">
        <is>
          <t>B015 note-gen providers</t>
        </is>
      </c>
      <c r="S6" s="37" t="inlineStr">
        <is>
          <t>Latency budget tied to 30 s Stage 1 SLA.</t>
        </is>
      </c>
      <c r="T6" s="37" t="inlineStr">
        <is>
          <t>Currently the default per docker-compose.</t>
        </is>
      </c>
    </row>
    <row r="7" ht="48" customHeight="1" s="28">
      <c r="A7" s="41" t="inlineStr">
        <is>
          <t>M004</t>
        </is>
      </c>
      <c r="B7" s="37" t="inlineStr">
        <is>
          <t>Anthropic Claude Sonnet 4</t>
        </is>
      </c>
      <c r="C7" s="37" t="inlineStr">
        <is>
          <t>AI provider</t>
        </is>
      </c>
      <c r="D7" s="37" t="inlineStr">
        <is>
          <t>Note generation alt + vision captioning</t>
        </is>
      </c>
      <c r="E7" s="37" t="inlineStr">
        <is>
          <t>Backend (B010, B011)</t>
        </is>
      </c>
      <c r="F7" s="37" t="inlineStr">
        <is>
          <t>Anthropic Messages</t>
        </is>
      </c>
      <c r="G7" s="37" t="inlineStr">
        <is>
          <t>HTTPS REST</t>
        </is>
      </c>
      <c r="H7" s="37" t="inlineStr">
        <is>
          <t>Yes</t>
        </is>
      </c>
      <c r="I7" s="37" t="inlineStr">
        <is>
          <t>API key</t>
        </is>
      </c>
      <c r="J7" s="37" t="inlineStr">
        <is>
          <t>Wired</t>
        </is>
      </c>
      <c r="K7" s="37" t="inlineStr">
        <is>
          <t>Wired</t>
        </is>
      </c>
      <c r="L7" s="37" t="inlineStr">
        <is>
          <t>P0</t>
        </is>
      </c>
      <c r="M7" s="37" t="inlineStr">
        <is>
          <t>Done</t>
        </is>
      </c>
      <c r="N7" s="37" t="inlineStr">
        <is>
          <t>M</t>
        </is>
      </c>
      <c r="O7" s="41">
        <f>IF(N7="S",1,IF(N7="M",3,IF(N7="L",8,IF(N7="XL",15,0))))</f>
        <v/>
      </c>
      <c r="P7" s="48" t="n"/>
      <c r="Q7" s="41">
        <f>IF(ISNUMBER(P7),P7,IF(ISNUMBER(O7),O7,0))</f>
        <v/>
      </c>
      <c r="R7" s="37" t="inlineStr">
        <is>
          <t>B015, B016 providers</t>
        </is>
      </c>
      <c r="S7" s="37" t="inlineStr">
        <is>
          <t>—</t>
        </is>
      </c>
      <c r="T7" s="37" t="inlineStr">
        <is>
          <t>Swap target via AppConfig — &lt; 30 s.</t>
        </is>
      </c>
    </row>
    <row r="8" ht="48" customHeight="1" s="28">
      <c r="A8" s="41" t="inlineStr">
        <is>
          <t>M005</t>
        </is>
      </c>
      <c r="B8" s="37" t="inlineStr">
        <is>
          <t>Google Gemini 2.5 Flash</t>
        </is>
      </c>
      <c r="C8" s="37" t="inlineStr">
        <is>
          <t>AI provider</t>
        </is>
      </c>
      <c r="D8" s="37" t="inlineStr">
        <is>
          <t>Note generation alt + vision captioning</t>
        </is>
      </c>
      <c r="E8" s="37" t="inlineStr">
        <is>
          <t>Backend (B010, B011)</t>
        </is>
      </c>
      <c r="F8" s="37" t="inlineStr">
        <is>
          <t>Google Gemini API</t>
        </is>
      </c>
      <c r="G8" s="37" t="inlineStr">
        <is>
          <t>HTTPS REST</t>
        </is>
      </c>
      <c r="H8" s="37" t="inlineStr">
        <is>
          <t>Yes</t>
        </is>
      </c>
      <c r="I8" s="37" t="inlineStr">
        <is>
          <t>API key</t>
        </is>
      </c>
      <c r="J8" s="37" t="inlineStr">
        <is>
          <t>Wired</t>
        </is>
      </c>
      <c r="K8" s="37" t="inlineStr">
        <is>
          <t>Wired</t>
        </is>
      </c>
      <c r="L8" s="37" t="inlineStr">
        <is>
          <t>P1</t>
        </is>
      </c>
      <c r="M8" s="37" t="inlineStr">
        <is>
          <t>Done</t>
        </is>
      </c>
      <c r="N8" s="37" t="inlineStr">
        <is>
          <t>M</t>
        </is>
      </c>
      <c r="O8" s="41">
        <f>IF(N8="S",1,IF(N8="M",3,IF(N8="L",8,IF(N8="XL",15,0))))</f>
        <v/>
      </c>
      <c r="P8" s="48" t="n"/>
      <c r="Q8" s="41">
        <f>IF(ISNUMBER(P8),P8,IF(ISNUMBER(O8),O8,0))</f>
        <v/>
      </c>
      <c r="R8" s="37" t="inlineStr">
        <is>
          <t>B015, B016 providers</t>
        </is>
      </c>
      <c r="S8" s="37" t="inlineStr">
        <is>
          <t>Truncates long structured JSON — avoid for autonomous runs.</t>
        </is>
      </c>
      <c r="T8" s="37" t="inlineStr">
        <is>
          <t>Available for eval comparisons.</t>
        </is>
      </c>
    </row>
    <row r="9" ht="48" customHeight="1" s="28">
      <c r="A9" s="41" t="inlineStr">
        <is>
          <t>M006</t>
        </is>
      </c>
      <c r="B9" s="37" t="inlineStr">
        <is>
          <t>AWS S3</t>
        </is>
      </c>
      <c r="C9" s="37" t="inlineStr">
        <is>
          <t>AWS service</t>
        </is>
      </c>
      <c r="D9" s="37" t="inlineStr">
        <is>
          <t>Raw audio + masked frames + screen frames + DOCX exports</t>
        </is>
      </c>
      <c r="E9" s="37" t="inlineStr">
        <is>
          <t>Backend (B007/B008/B009/B012)</t>
        </is>
      </c>
      <c r="F9" s="37" t="inlineStr">
        <is>
          <t>S3 (ca-central-1)</t>
        </is>
      </c>
      <c r="G9" s="37" t="inlineStr">
        <is>
          <t>AWS SDK</t>
        </is>
      </c>
      <c r="H9" s="37" t="inlineStr">
        <is>
          <t>No (AWS)</t>
        </is>
      </c>
      <c r="I9" s="37" t="inlineStr">
        <is>
          <t>IAM via Cognito</t>
        </is>
      </c>
      <c r="J9" s="37" t="inlineStr">
        <is>
          <t>Wired</t>
        </is>
      </c>
      <c r="K9" s="37" t="inlineStr">
        <is>
          <t>Wired</t>
        </is>
      </c>
      <c r="L9" s="37" t="inlineStr">
        <is>
          <t>P0</t>
        </is>
      </c>
      <c r="M9" s="37" t="inlineStr">
        <is>
          <t>Done</t>
        </is>
      </c>
      <c r="N9" s="37" t="inlineStr">
        <is>
          <t>M</t>
        </is>
      </c>
      <c r="O9" s="41">
        <f>IF(N9="S",1,IF(N9="M",3,IF(N9="L",8,IF(N9="XL",15,0))))</f>
        <v/>
      </c>
      <c r="P9" s="48" t="n"/>
      <c r="Q9" s="41">
        <f>IF(ISNUMBER(P9),P9,IF(ISNUMBER(O9),O9,0))</f>
        <v/>
      </c>
      <c r="R9" s="37" t="inlineStr">
        <is>
          <t>M010 KMS</t>
        </is>
      </c>
      <c r="S9" s="37" t="inlineStr">
        <is>
          <t>—</t>
        </is>
      </c>
      <c r="T9" s="37" t="inlineStr">
        <is>
          <t>TTL policies for raw audio (≤1 h) + frames (≤24 h after export).</t>
        </is>
      </c>
    </row>
    <row r="10" ht="48" customHeight="1" s="28">
      <c r="A10" s="41" t="inlineStr">
        <is>
          <t>M007</t>
        </is>
      </c>
      <c r="B10" s="37" t="inlineStr">
        <is>
          <t>AWS DynamoDB</t>
        </is>
      </c>
      <c r="C10" s="37" t="inlineStr">
        <is>
          <t>AWS service</t>
        </is>
      </c>
      <c r="D10" s="37" t="inlineStr">
        <is>
          <t>Append-only audit log</t>
        </is>
      </c>
      <c r="E10" s="37" t="inlineStr">
        <is>
          <t>Backend (B018 audit-log)</t>
        </is>
      </c>
      <c r="F10" s="37" t="inlineStr">
        <is>
          <t>DynamoDB</t>
        </is>
      </c>
      <c r="G10" s="37" t="inlineStr">
        <is>
          <t>AWS SDK</t>
        </is>
      </c>
      <c r="H10" s="37" t="inlineStr">
        <is>
          <t>No</t>
        </is>
      </c>
      <c r="I10" s="37" t="inlineStr">
        <is>
          <t>IAM</t>
        </is>
      </c>
      <c r="J10" s="37" t="inlineStr">
        <is>
          <t>Wired</t>
        </is>
      </c>
      <c r="K10" s="37" t="inlineStr">
        <is>
          <t>Wired</t>
        </is>
      </c>
      <c r="L10" s="37" t="inlineStr">
        <is>
          <t>P0</t>
        </is>
      </c>
      <c r="M10" s="37" t="inlineStr">
        <is>
          <t>Done</t>
        </is>
      </c>
      <c r="N10" s="37" t="inlineStr">
        <is>
          <t>M</t>
        </is>
      </c>
      <c r="O10" s="41">
        <f>IF(N10="S",1,IF(N10="M",3,IF(N10="L",8,IF(N10="XL",15,0))))</f>
        <v/>
      </c>
      <c r="P10" s="48" t="n"/>
      <c r="Q10" s="41">
        <f>IF(ISNUMBER(P10),P10,IF(ISNUMBER(O10),O10,0))</f>
        <v/>
      </c>
      <c r="R10" s="37" t="inlineStr">
        <is>
          <t>—</t>
        </is>
      </c>
      <c r="S10" s="37" t="inlineStr">
        <is>
          <t>—</t>
        </is>
      </c>
      <c r="T10" s="37" t="inlineStr">
        <is>
          <t>Enforces append-only at table policy.</t>
        </is>
      </c>
    </row>
    <row r="11" ht="48" customHeight="1" s="28">
      <c r="A11" s="41" t="inlineStr">
        <is>
          <t>M008</t>
        </is>
      </c>
      <c r="B11" s="37" t="inlineStr">
        <is>
          <t>AWS AppConfig</t>
        </is>
      </c>
      <c r="C11" s="37" t="inlineStr">
        <is>
          <t>AWS service</t>
        </is>
      </c>
      <c r="D11" s="37" t="inlineStr">
        <is>
          <t>Runtime provider + flag + threshold config (30 s polling)</t>
        </is>
      </c>
      <c r="E11" s="37" t="inlineStr">
        <is>
          <t>Backend (B024 registry)</t>
        </is>
      </c>
      <c r="F11" s="37" t="inlineStr">
        <is>
          <t>AppConfig</t>
        </is>
      </c>
      <c r="G11" s="37" t="inlineStr">
        <is>
          <t>AWS SDK</t>
        </is>
      </c>
      <c r="H11" s="37" t="inlineStr">
        <is>
          <t>No</t>
        </is>
      </c>
      <c r="I11" s="37" t="inlineStr">
        <is>
          <t>IAM</t>
        </is>
      </c>
      <c r="J11" s="37" t="inlineStr">
        <is>
          <t>Wired</t>
        </is>
      </c>
      <c r="K11" s="37" t="inlineStr">
        <is>
          <t>Wired</t>
        </is>
      </c>
      <c r="L11" s="37" t="inlineStr">
        <is>
          <t>P0</t>
        </is>
      </c>
      <c r="M11" s="37" t="inlineStr">
        <is>
          <t>Done</t>
        </is>
      </c>
      <c r="N11" s="37" t="inlineStr">
        <is>
          <t>M</t>
        </is>
      </c>
      <c r="O11" s="41">
        <f>IF(N11="S",1,IF(N11="M",3,IF(N11="L",8,IF(N11="XL",15,0))))</f>
        <v/>
      </c>
      <c r="P11" s="48" t="n"/>
      <c r="Q11" s="41">
        <f>IF(ISNUMBER(P11),P11,IF(ISNUMBER(O11),O11,0))</f>
        <v/>
      </c>
      <c r="R11" s="37" t="inlineStr">
        <is>
          <t>—</t>
        </is>
      </c>
      <c r="S11" s="37" t="inlineStr">
        <is>
          <t>Schema validator must reject invalid keys pre-deploy.</t>
        </is>
      </c>
      <c r="T11" s="37" t="inlineStr">
        <is>
          <t>Schema validation + audited deployment per Phase 8.</t>
        </is>
      </c>
    </row>
    <row r="12" ht="48" customHeight="1" s="28">
      <c r="A12" s="41" t="inlineStr">
        <is>
          <t>M009</t>
        </is>
      </c>
      <c r="B12" s="37" t="inlineStr">
        <is>
          <t>AWS Cognito</t>
        </is>
      </c>
      <c r="C12" s="37" t="inlineStr">
        <is>
          <t>AWS service</t>
        </is>
      </c>
      <c r="D12" s="37" t="inlineStr">
        <is>
          <t>JWT auth via JWKS</t>
        </is>
      </c>
      <c r="E12" s="37" t="inlineStr">
        <is>
          <t>iOS + Backend (B001)</t>
        </is>
      </c>
      <c r="F12" s="37" t="inlineStr">
        <is>
          <t>Cognito User Pool</t>
        </is>
      </c>
      <c r="G12" s="37" t="inlineStr">
        <is>
          <t>OIDC JWT</t>
        </is>
      </c>
      <c r="H12" s="37" t="inlineStr">
        <is>
          <t>No</t>
        </is>
      </c>
      <c r="I12" s="37" t="inlineStr">
        <is>
          <t>Pool/client ID</t>
        </is>
      </c>
      <c r="J12" s="37" t="inlineStr">
        <is>
          <t>Wired</t>
        </is>
      </c>
      <c r="K12" s="37" t="inlineStr">
        <is>
          <t>Wired</t>
        </is>
      </c>
      <c r="L12" s="37" t="inlineStr">
        <is>
          <t>P0</t>
        </is>
      </c>
      <c r="M12" s="37" t="inlineStr">
        <is>
          <t>Done</t>
        </is>
      </c>
      <c r="N12" s="37" t="inlineStr">
        <is>
          <t>M</t>
        </is>
      </c>
      <c r="O12" s="41">
        <f>IF(N12="S",1,IF(N12="M",3,IF(N12="L",8,IF(N12="XL",15,0))))</f>
        <v/>
      </c>
      <c r="P12" s="48" t="n"/>
      <c r="Q12" s="41">
        <f>IF(ISNUMBER(P12),P12,IF(ISNUMBER(O12),O12,0))</f>
        <v/>
      </c>
      <c r="R12" s="37" t="inlineStr">
        <is>
          <t>B026 user store</t>
        </is>
      </c>
      <c r="S12" s="37" t="inlineStr">
        <is>
          <t>User-pool sync to UserModel pending P0-06.</t>
        </is>
      </c>
      <c r="T12" s="37" t="inlineStr">
        <is>
          <t>—</t>
        </is>
      </c>
    </row>
    <row r="13" ht="48" customHeight="1" s="28">
      <c r="A13" s="41" t="inlineStr">
        <is>
          <t>M010</t>
        </is>
      </c>
      <c r="B13" s="37" t="inlineStr">
        <is>
          <t>AWS KMS</t>
        </is>
      </c>
      <c r="C13" s="37" t="inlineStr">
        <is>
          <t>AWS service</t>
        </is>
      </c>
      <c r="D13" s="37" t="inlineStr">
        <is>
          <t>Encryption keys for S3 + DynamoDB</t>
        </is>
      </c>
      <c r="E13" s="37" t="inlineStr">
        <is>
          <t>Backend (all storage)</t>
        </is>
      </c>
      <c r="F13" s="37" t="inlineStr">
        <is>
          <t>KMS</t>
        </is>
      </c>
      <c r="G13" s="37" t="inlineStr">
        <is>
          <t>AWS SDK</t>
        </is>
      </c>
      <c r="H13" s="37" t="inlineStr">
        <is>
          <t>No</t>
        </is>
      </c>
      <c r="I13" s="37" t="inlineStr">
        <is>
          <t>IAM</t>
        </is>
      </c>
      <c r="J13" s="37" t="inlineStr">
        <is>
          <t>Wired</t>
        </is>
      </c>
      <c r="K13" s="37" t="inlineStr">
        <is>
          <t>Wired</t>
        </is>
      </c>
      <c r="L13" s="37" t="inlineStr">
        <is>
          <t>P0</t>
        </is>
      </c>
      <c r="M13" s="37" t="inlineStr">
        <is>
          <t>Done</t>
        </is>
      </c>
      <c r="N13" s="37" t="inlineStr">
        <is>
          <t>S</t>
        </is>
      </c>
      <c r="O13" s="41">
        <f>IF(N13="S",1,IF(N13="M",3,IF(N13="L",8,IF(N13="XL",15,0))))</f>
        <v/>
      </c>
      <c r="P13" s="48" t="n"/>
      <c r="Q13" s="41">
        <f>IF(ISNUMBER(P13),P13,IF(ISNUMBER(O13),O13,0))</f>
        <v/>
      </c>
      <c r="R13" s="37" t="inlineStr">
        <is>
          <t>—</t>
        </is>
      </c>
      <c r="S13" s="37" t="inlineStr">
        <is>
          <t>—</t>
        </is>
      </c>
      <c r="T13" s="37" t="inlineStr">
        <is>
          <t>—</t>
        </is>
      </c>
    </row>
    <row r="14" ht="48" customHeight="1" s="28">
      <c r="A14" s="41" t="inlineStr">
        <is>
          <t>M011</t>
        </is>
      </c>
      <c r="B14" s="37" t="inlineStr">
        <is>
          <t>AWS Textract</t>
        </is>
      </c>
      <c r="C14" s="37" t="inlineStr">
        <is>
          <t>AWS service</t>
        </is>
      </c>
      <c r="D14" s="37" t="inlineStr">
        <is>
          <t>Server-side OCR for screen frames (fallback when on-device path returns low confidence)</t>
        </is>
      </c>
      <c r="E14" s="37" t="inlineStr">
        <is>
          <t>Backend (B009 Screen)</t>
        </is>
      </c>
      <c r="F14" s="37" t="inlineStr">
        <is>
          <t>Textract</t>
        </is>
      </c>
      <c r="G14" s="37" t="inlineStr">
        <is>
          <t>AWS SDK (sync)</t>
        </is>
      </c>
      <c r="H14" s="37" t="inlineStr">
        <is>
          <t>No</t>
        </is>
      </c>
      <c r="I14" s="37" t="inlineStr">
        <is>
          <t>IAM</t>
        </is>
      </c>
      <c r="J14" s="37" t="inlineStr">
        <is>
          <t>Wired</t>
        </is>
      </c>
      <c r="K14" s="37" t="inlineStr">
        <is>
          <t>Wired</t>
        </is>
      </c>
      <c r="L14" s="37" t="inlineStr">
        <is>
          <t>P0</t>
        </is>
      </c>
      <c r="M14" s="37" t="inlineStr">
        <is>
          <t>Done</t>
        </is>
      </c>
      <c r="N14" s="37" t="inlineStr">
        <is>
          <t>M</t>
        </is>
      </c>
      <c r="O14" s="41">
        <f>IF(N14="S",1,IF(N14="M",3,IF(N14="L",8,IF(N14="XL",15,0))))</f>
        <v/>
      </c>
      <c r="P14" s="48" t="n"/>
      <c r="Q14" s="41">
        <f>IF(ISNUMBER(P14),P14,IF(ISNUMBER(O14),O14,0))</f>
        <v/>
      </c>
      <c r="R14" s="37" t="inlineStr">
        <is>
          <t>—</t>
        </is>
      </c>
      <c r="S14" s="37" t="inlineStr">
        <is>
          <t>Sync boto3 inside async def — wrap in asyncio.to_thread post-pilot.</t>
        </is>
      </c>
      <c r="T14" s="37" t="inlineStr">
        <is>
          <t>On-device redaction happens first; Textract only sees redacted bytes.</t>
        </is>
      </c>
    </row>
    <row r="15" ht="48" customHeight="1" s="28">
      <c r="A15" s="41" t="inlineStr">
        <is>
          <t>M012</t>
        </is>
      </c>
      <c r="B15" s="37" t="inlineStr">
        <is>
          <t>AWS Comprehend Medical</t>
        </is>
      </c>
      <c r="C15" s="37" t="inlineStr">
        <is>
          <t>AWS service</t>
        </is>
      </c>
      <c r="D15" s="37" t="inlineStr">
        <is>
          <t>PHI entity scan over transcripts for the masking report</t>
        </is>
      </c>
      <c r="E15" s="37" t="inlineStr">
        <is>
          <t>Backend (B019)</t>
        </is>
      </c>
      <c r="F15" s="37" t="inlineStr">
        <is>
          <t>Comprehend Medical</t>
        </is>
      </c>
      <c r="G15" s="37" t="inlineStr">
        <is>
          <t>AWS SDK</t>
        </is>
      </c>
      <c r="H15" s="37" t="inlineStr">
        <is>
          <t>No</t>
        </is>
      </c>
      <c r="I15" s="37" t="inlineStr">
        <is>
          <t>IAM</t>
        </is>
      </c>
      <c r="J15" s="37" t="inlineStr">
        <is>
          <t>Wired</t>
        </is>
      </c>
      <c r="K15" s="37" t="inlineStr">
        <is>
          <t>Wired</t>
        </is>
      </c>
      <c r="L15" s="37" t="inlineStr">
        <is>
          <t>P0</t>
        </is>
      </c>
      <c r="M15" s="37" t="inlineStr">
        <is>
          <t>Done</t>
        </is>
      </c>
      <c r="N15" s="37" t="inlineStr">
        <is>
          <t>M</t>
        </is>
      </c>
      <c r="O15" s="41">
        <f>IF(N15="S",1,IF(N15="M",3,IF(N15="L",8,IF(N15="XL",15,0))))</f>
        <v/>
      </c>
      <c r="P15" s="48" t="n"/>
      <c r="Q15" s="41">
        <f>IF(ISNUMBER(P15),P15,IF(ISNUMBER(O15),O15,0))</f>
        <v/>
      </c>
      <c r="R15" s="37" t="inlineStr">
        <is>
          <t>—</t>
        </is>
      </c>
      <c r="S15" s="37" t="inlineStr">
        <is>
          <t>—</t>
        </is>
      </c>
      <c r="T15" s="37" t="inlineStr">
        <is>
          <t>—</t>
        </is>
      </c>
    </row>
    <row r="16" ht="48" customHeight="1" s="28">
      <c r="A16" s="41" t="inlineStr">
        <is>
          <t>M013</t>
        </is>
      </c>
      <c r="B16" s="37" t="inlineStr">
        <is>
          <t>AWS Secrets Manager</t>
        </is>
      </c>
      <c r="C16" s="37" t="inlineStr">
        <is>
          <t>AWS service</t>
        </is>
      </c>
      <c r="D16" s="37" t="inlineStr">
        <is>
          <t>Storage of OpenAI / Anthropic / Gemini / AssemblyAI keys</t>
        </is>
      </c>
      <c r="E16" s="37" t="inlineStr">
        <is>
          <t>Backend (B015–B017)</t>
        </is>
      </c>
      <c r="F16" s="37" t="inlineStr">
        <is>
          <t>Secrets Manager</t>
        </is>
      </c>
      <c r="G16" s="37" t="inlineStr">
        <is>
          <t>AWS SDK</t>
        </is>
      </c>
      <c r="H16" s="37" t="inlineStr">
        <is>
          <t>No</t>
        </is>
      </c>
      <c r="I16" s="37" t="inlineStr">
        <is>
          <t>IAM</t>
        </is>
      </c>
      <c r="J16" s="37" t="inlineStr">
        <is>
          <t>Wired</t>
        </is>
      </c>
      <c r="K16" s="37" t="inlineStr">
        <is>
          <t>Wired</t>
        </is>
      </c>
      <c r="L16" s="37" t="inlineStr">
        <is>
          <t>P0</t>
        </is>
      </c>
      <c r="M16" s="37" t="inlineStr">
        <is>
          <t>Done</t>
        </is>
      </c>
      <c r="N16" s="37" t="inlineStr">
        <is>
          <t>S</t>
        </is>
      </c>
      <c r="O16" s="41">
        <f>IF(N16="S",1,IF(N16="M",3,IF(N16="L",8,IF(N16="XL",15,0))))</f>
        <v/>
      </c>
      <c r="P16" s="48" t="n"/>
      <c r="Q16" s="41">
        <f>IF(ISNUMBER(P16),P16,IF(ISNUMBER(O16),O16,0))</f>
        <v/>
      </c>
      <c r="R16" s="37" t="inlineStr">
        <is>
          <t>—</t>
        </is>
      </c>
      <c r="S16" s="37" t="inlineStr">
        <is>
          <t>—</t>
        </is>
      </c>
      <c r="T16" s="37" t="inlineStr">
        <is>
          <t>API keys never called from iOS.</t>
        </is>
      </c>
    </row>
    <row r="17" ht="48" customHeight="1" s="28">
      <c r="A17" s="41" t="inlineStr">
        <is>
          <t>M014</t>
        </is>
      </c>
      <c r="B17" s="37" t="inlineStr">
        <is>
          <t>PostgreSQL</t>
        </is>
      </c>
      <c r="C17" s="37" t="inlineStr">
        <is>
          <t>Data store</t>
        </is>
      </c>
      <c r="D17" s="37" t="inlineStr">
        <is>
          <t>Sessions, transcripts, note versions, profiles, pilot metrics, Stage 2 jobs, eval (pending)</t>
        </is>
      </c>
      <c r="E17" s="37" t="inlineStr">
        <is>
          <t>Backend</t>
        </is>
      </c>
      <c r="F17" s="37" t="inlineStr">
        <is>
          <t>RDS PostgreSQL (prod) / postgres:15-alpine (dev)</t>
        </is>
      </c>
      <c r="G17" s="37" t="inlineStr">
        <is>
          <t>asyncpg</t>
        </is>
      </c>
      <c r="H17" s="37" t="inlineStr">
        <is>
          <t>No</t>
        </is>
      </c>
      <c r="I17" s="37" t="inlineStr">
        <is>
          <t>DB password (Secrets Manager prod)</t>
        </is>
      </c>
      <c r="J17" s="37" t="inlineStr">
        <is>
          <t>Wired</t>
        </is>
      </c>
      <c r="K17" s="37" t="inlineStr">
        <is>
          <t>Wired</t>
        </is>
      </c>
      <c r="L17" s="37" t="inlineStr">
        <is>
          <t>P0</t>
        </is>
      </c>
      <c r="M17" s="37" t="inlineStr">
        <is>
          <t>Done</t>
        </is>
      </c>
      <c r="N17" s="37" t="inlineStr">
        <is>
          <t>M</t>
        </is>
      </c>
      <c r="O17" s="41">
        <f>IF(N17="S",1,IF(N17="M",3,IF(N17="L",8,IF(N17="XL",15,0))))</f>
        <v/>
      </c>
      <c r="P17" s="48" t="n"/>
      <c r="Q17" s="41">
        <f>IF(ISNUMBER(P17),P17,IF(ISNUMBER(O17),O17,0))</f>
        <v/>
      </c>
      <c r="R17" s="37" t="inlineStr">
        <is>
          <t>B025 Alembic</t>
        </is>
      </c>
      <c r="S17" s="37" t="inlineStr">
        <is>
          <t>Schema lives in models.py + create_all only; needs Alembic before prod.</t>
        </is>
      </c>
      <c r="T17" s="37" t="inlineStr">
        <is>
          <t>—</t>
        </is>
      </c>
    </row>
    <row r="18" ht="48" customHeight="1" s="28">
      <c r="A18" s="41" t="inlineStr">
        <is>
          <t>M015</t>
        </is>
      </c>
      <c r="B18" s="37" t="inlineStr">
        <is>
          <t>Apple Vision framework</t>
        </is>
      </c>
      <c r="C18" s="37" t="inlineStr">
        <is>
          <t>iOS framework</t>
        </is>
      </c>
      <c r="D18" s="37" t="inlineStr">
        <is>
          <t>On-device face detection + blur, OCR-based screen redaction</t>
        </is>
      </c>
      <c r="E18" s="37" t="inlineStr">
        <is>
          <t>iOS MaskingPipeline</t>
        </is>
      </c>
      <c r="F18" s="37" t="inlineStr">
        <is>
          <t>Apple Vision</t>
        </is>
      </c>
      <c r="G18" s="37" t="inlineStr">
        <is>
          <t>Native</t>
        </is>
      </c>
      <c r="H18" s="37" t="inlineStr">
        <is>
          <t>No</t>
        </is>
      </c>
      <c r="I18" s="37" t="inlineStr">
        <is>
          <t>—</t>
        </is>
      </c>
      <c r="J18" s="37" t="inlineStr">
        <is>
          <t>Wired</t>
        </is>
      </c>
      <c r="K18" s="37" t="inlineStr">
        <is>
          <t>Wired</t>
        </is>
      </c>
      <c r="L18" s="37" t="inlineStr">
        <is>
          <t>P0</t>
        </is>
      </c>
      <c r="M18" s="37" t="inlineStr">
        <is>
          <t>Done</t>
        </is>
      </c>
      <c r="N18" s="37" t="inlineStr">
        <is>
          <t>L</t>
        </is>
      </c>
      <c r="O18" s="41">
        <f>IF(N18="S",1,IF(N18="M",3,IF(N18="L",8,IF(N18="XL",15,0))))</f>
        <v/>
      </c>
      <c r="P18" s="48" t="n"/>
      <c r="Q18" s="41">
        <f>IF(ISNUMBER(P18),P18,IF(ISNUMBER(O18),O18,0))</f>
        <v/>
      </c>
      <c r="R18" s="37" t="inlineStr">
        <is>
          <t>—</t>
        </is>
      </c>
      <c r="S18" s="37" t="inlineStr">
        <is>
          <t>Fail-closed: a failed mask must never produce uploaded bytes (P0-01).</t>
        </is>
      </c>
      <c r="T18" s="37" t="inlineStr">
        <is>
          <t>Backed by an extensive PHI regex bank + QA fixtures (M-04).</t>
        </is>
      </c>
    </row>
    <row r="19" ht="48" customHeight="1" s="28">
      <c r="A19" s="41" t="inlineStr">
        <is>
          <t>M016</t>
        </is>
      </c>
      <c r="B19" s="37" t="inlineStr">
        <is>
          <t>AVFoundation</t>
        </is>
      </c>
      <c r="C19" s="37" t="inlineStr">
        <is>
          <t>iOS framework</t>
        </is>
      </c>
      <c r="D19" s="37" t="inlineStr">
        <is>
          <t>Audio + video capture, PCM extraction, WAV build</t>
        </is>
      </c>
      <c r="E19" s="37" t="inlineStr">
        <is>
          <t>iOS CaptureManager</t>
        </is>
      </c>
      <c r="F19" s="37" t="inlineStr">
        <is>
          <t>AVFoundation</t>
        </is>
      </c>
      <c r="G19" s="37" t="inlineStr">
        <is>
          <t>Native</t>
        </is>
      </c>
      <c r="H19" s="37" t="inlineStr">
        <is>
          <t>No</t>
        </is>
      </c>
      <c r="I19" s="37" t="inlineStr">
        <is>
          <t>Mic/Camera permissions</t>
        </is>
      </c>
      <c r="J19" s="37" t="inlineStr">
        <is>
          <t>Wired</t>
        </is>
      </c>
      <c r="K19" s="37" t="inlineStr">
        <is>
          <t>Wired</t>
        </is>
      </c>
      <c r="L19" s="37" t="inlineStr">
        <is>
          <t>P0</t>
        </is>
      </c>
      <c r="M19" s="37" t="inlineStr">
        <is>
          <t>Done</t>
        </is>
      </c>
      <c r="N19" s="37" t="inlineStr">
        <is>
          <t>L</t>
        </is>
      </c>
      <c r="O19" s="41">
        <f>IF(N19="S",1,IF(N19="M",3,IF(N19="L",8,IF(N19="XL",15,0))))</f>
        <v/>
      </c>
      <c r="P19" s="48" t="n"/>
      <c r="Q19" s="41">
        <f>IF(ISNUMBER(P19),P19,IF(ISNUMBER(O19),O19,0))</f>
        <v/>
      </c>
      <c r="R19" s="37" t="inlineStr">
        <is>
          <t>—</t>
        </is>
      </c>
      <c r="S19" s="37" t="inlineStr">
        <is>
          <t>Permission denial path tested on iPhone; QA on iPad still needed.</t>
        </is>
      </c>
      <c r="T19" s="37" t="inlineStr">
        <is>
          <t>Mode-aware: skips video input when audioOnly.</t>
        </is>
      </c>
    </row>
    <row r="20" ht="48" customHeight="1" s="28">
      <c r="A20" s="41" t="inlineStr">
        <is>
          <t>M017</t>
        </is>
      </c>
      <c r="B20" s="37" t="inlineStr">
        <is>
          <t>ReplayKit</t>
        </is>
      </c>
      <c r="C20" s="37" t="inlineStr">
        <is>
          <t>iOS framework</t>
        </is>
      </c>
      <c r="D20" s="37" t="inlineStr">
        <is>
          <t>Screen recording for EMR/lab/imaging frames</t>
        </is>
      </c>
      <c r="E20" s="37" t="inlineStr">
        <is>
          <t>iOS ScreenCaptureManager</t>
        </is>
      </c>
      <c r="F20" s="37" t="inlineStr">
        <is>
          <t>ReplayKit</t>
        </is>
      </c>
      <c r="G20" s="37" t="inlineStr">
        <is>
          <t>Native</t>
        </is>
      </c>
      <c r="H20" s="37" t="inlineStr">
        <is>
          <t>No</t>
        </is>
      </c>
      <c r="I20" s="37" t="inlineStr">
        <is>
          <t>Screen-recording user grant</t>
        </is>
      </c>
      <c r="J20" s="37" t="inlineStr">
        <is>
          <t>Wired</t>
        </is>
      </c>
      <c r="K20" s="37" t="inlineStr">
        <is>
          <t>Wired</t>
        </is>
      </c>
      <c r="L20" s="37" t="inlineStr">
        <is>
          <t>P0</t>
        </is>
      </c>
      <c r="M20" s="37" t="inlineStr">
        <is>
          <t>Done</t>
        </is>
      </c>
      <c r="N20" s="37" t="inlineStr">
        <is>
          <t>M</t>
        </is>
      </c>
      <c r="O20" s="41">
        <f>IF(N20="S",1,IF(N20="M",3,IF(N20="L",8,IF(N20="XL",15,0))))</f>
        <v/>
      </c>
      <c r="P20" s="48" t="n"/>
      <c r="Q20" s="41">
        <f>IF(ISNUMBER(P20),P20,IF(ISNUMBER(O20),O20,0))</f>
        <v/>
      </c>
      <c r="R20" s="37" t="inlineStr">
        <is>
          <t>M015 Apple Vision</t>
        </is>
      </c>
      <c r="S20" s="37" t="inlineStr">
        <is>
          <t>ReplayKit pause discards pre-pause frames — accepted for MVP.</t>
        </is>
      </c>
      <c r="T20" s="37" t="inlineStr">
        <is>
          <t>Toggleable via feature_flags.screen_capture_enabled.</t>
        </is>
      </c>
    </row>
    <row r="21" ht="48" customHeight="1" s="28">
      <c r="A21" s="41" t="inlineStr">
        <is>
          <t>M018</t>
        </is>
      </c>
      <c r="B21" s="37" t="inlineStr">
        <is>
          <t>MediaPipe face detection (backup)</t>
        </is>
      </c>
      <c r="C21" s="37" t="inlineStr">
        <is>
          <t>iOS framework</t>
        </is>
      </c>
      <c r="D21" s="37" t="inlineStr">
        <is>
          <t>Secondary face detector for fallback / cross-check</t>
        </is>
      </c>
      <c r="E21" s="37" t="inlineStr">
        <is>
          <t>iOS MaskingPipeline</t>
        </is>
      </c>
      <c r="F21" s="37" t="inlineStr">
        <is>
          <t>MediaPipe</t>
        </is>
      </c>
      <c r="G21" s="37" t="inlineStr">
        <is>
          <t>Native (CocoaPods / SPM)</t>
        </is>
      </c>
      <c r="H21" s="37" t="inlineStr">
        <is>
          <t>Yes (Google)</t>
        </is>
      </c>
      <c r="I21" s="37" t="inlineStr">
        <is>
          <t>—</t>
        </is>
      </c>
      <c r="J21" s="37" t="inlineStr">
        <is>
          <t>Mostly wired</t>
        </is>
      </c>
      <c r="K21" s="37" t="inlineStr">
        <is>
          <t>Confirm fallback path exercised in QA fixtures.</t>
        </is>
      </c>
      <c r="L21" s="37" t="inlineStr">
        <is>
          <t>P2</t>
        </is>
      </c>
      <c r="M21" s="37" t="inlineStr">
        <is>
          <t>Not Started</t>
        </is>
      </c>
      <c r="N21" s="37" t="inlineStr">
        <is>
          <t>S</t>
        </is>
      </c>
      <c r="O21" s="41">
        <f>IF(N21="S",1,IF(N21="M",3,IF(N21="L",8,IF(N21="XL",15,0))))</f>
        <v/>
      </c>
      <c r="P21" s="48" t="n"/>
      <c r="Q21" s="41">
        <f>IF(ISNUMBER(P21),P21,IF(ISNUMBER(O21),O21,0))</f>
        <v/>
      </c>
      <c r="R21" s="37" t="inlineStr">
        <is>
          <t>M015 Apple Vision</t>
        </is>
      </c>
      <c r="S21" s="37" t="inlineStr">
        <is>
          <t>Apple Vision is primary; MediaPipe only as cross-check.</t>
        </is>
      </c>
      <c r="T21" s="37" t="inlineStr">
        <is>
          <t>—</t>
        </is>
      </c>
    </row>
    <row r="22" ht="48" customHeight="1" s="28">
      <c r="A22" s="41" t="inlineStr">
        <is>
          <t>M019</t>
        </is>
      </c>
      <c r="B22" s="37" t="inlineStr">
        <is>
          <t>Ray-Ban Meta SDK (M-03)</t>
        </is>
      </c>
      <c r="C22" s="37" t="inlineStr">
        <is>
          <t>Wearable SDK</t>
        </is>
      </c>
      <c r="D22" s="37" t="inlineStr">
        <is>
          <t>Glasses video/audio capture</t>
        </is>
      </c>
      <c r="E22" s="37" t="inlineStr">
        <is>
          <t>iOS MetaWearablesSource</t>
        </is>
      </c>
      <c r="F22" s="37" t="inlineStr">
        <is>
          <t>Meta SDK</t>
        </is>
      </c>
      <c r="G22" s="37" t="inlineStr">
        <is>
          <t>BLE + native</t>
        </is>
      </c>
      <c r="H22" s="37" t="inlineStr">
        <is>
          <t>Yes</t>
        </is>
      </c>
      <c r="I22" s="37" t="inlineStr">
        <is>
          <t>Partner SDK + Meta access</t>
        </is>
      </c>
      <c r="J22" s="37" t="inlineStr">
        <is>
          <t>Stubbed (notImplemented)</t>
        </is>
      </c>
      <c r="K22" s="37" t="inlineStr">
        <is>
          <t>Deferred — pilot ships iPhone/iPad fallback.</t>
        </is>
      </c>
      <c r="L22" s="37" t="inlineStr">
        <is>
          <t>P3</t>
        </is>
      </c>
      <c r="M22" s="37" t="inlineStr">
        <is>
          <t>Not Started</t>
        </is>
      </c>
      <c r="N22" s="37" t="inlineStr">
        <is>
          <t>XL</t>
        </is>
      </c>
      <c r="O22" s="41">
        <f>IF(N22="S",1,IF(N22="M",3,IF(N22="L",8,IF(N22="XL",15,0))))</f>
        <v/>
      </c>
      <c r="P22" s="48" t="n"/>
      <c r="Q22" s="41">
        <f>IF(ISNUMBER(P22),P22,IF(ISNUMBER(O22),O22,0))</f>
        <v/>
      </c>
      <c r="R22" s="37" t="inlineStr">
        <is>
          <t>M020 BLE pairing</t>
        </is>
      </c>
      <c r="S22" s="37" t="inlineStr">
        <is>
          <t>Partner approval timeline unknown.</t>
        </is>
      </c>
      <c r="T22" s="37" t="inlineStr">
        <is>
          <t>Stub throws CaptureSourceError.notImplemented.</t>
        </is>
      </c>
    </row>
    <row r="23" ht="48" customHeight="1" s="28">
      <c r="A23" s="41" t="inlineStr">
        <is>
          <t>M020</t>
        </is>
      </c>
      <c r="B23" s="37" t="inlineStr">
        <is>
          <t>BLE pairing (BLEPairingManager)</t>
        </is>
      </c>
      <c r="C23" s="37" t="inlineStr">
        <is>
          <t>iOS framework</t>
        </is>
      </c>
      <c r="D23" s="37" t="inlineStr">
        <is>
          <t>Bluetooth scan + pair flow for wearable / external audio</t>
        </is>
      </c>
      <c r="E23" s="37" t="inlineStr">
        <is>
          <t>iOS WearableSetupView</t>
        </is>
      </c>
      <c r="F23" s="37" t="inlineStr">
        <is>
          <t>CoreBluetooth</t>
        </is>
      </c>
      <c r="G23" s="37" t="inlineStr">
        <is>
          <t>Native</t>
        </is>
      </c>
      <c r="H23" s="37" t="inlineStr">
        <is>
          <t>No</t>
        </is>
      </c>
      <c r="I23" s="37" t="inlineStr">
        <is>
          <t>Bluetooth permission</t>
        </is>
      </c>
      <c r="J23" s="37" t="inlineStr">
        <is>
          <t>Wired (stubbed device list)</t>
        </is>
      </c>
      <c r="K23" s="37" t="inlineStr">
        <is>
          <t>Wired</t>
        </is>
      </c>
      <c r="L23" s="37" t="inlineStr">
        <is>
          <t>P2</t>
        </is>
      </c>
      <c r="M23" s="37" t="inlineStr">
        <is>
          <t>Done</t>
        </is>
      </c>
      <c r="N23" s="37" t="inlineStr">
        <is>
          <t>M</t>
        </is>
      </c>
      <c r="O23" s="41">
        <f>IF(N23="S",1,IF(N23="M",3,IF(N23="L",8,IF(N23="XL",15,0))))</f>
        <v/>
      </c>
      <c r="P23" s="48" t="n"/>
      <c r="Q23" s="41">
        <f>IF(ISNUMBER(P23),P23,IF(ISNUMBER(O23),O23,0))</f>
        <v/>
      </c>
      <c r="R23" s="37" t="inlineStr">
        <is>
          <t>M019 Meta SDK</t>
        </is>
      </c>
      <c r="S23" s="37" t="inlineStr">
        <is>
          <t>—</t>
        </is>
      </c>
      <c r="T23" s="37" t="inlineStr">
        <is>
          <t>—</t>
        </is>
      </c>
    </row>
    <row r="24" ht="48" customHeight="1" s="28">
      <c r="A24" s="41" t="inlineStr">
        <is>
          <t>M021</t>
        </is>
      </c>
      <c r="B24" s="37" t="inlineStr">
        <is>
          <t>WebSocket push (Backend ↔ iOS)</t>
        </is>
      </c>
      <c r="C24" s="37" t="inlineStr">
        <is>
          <t>Real-time</t>
        </is>
      </c>
      <c r="D24" s="37" t="inlineStr">
        <is>
          <t>Server pushes new note version to NoteReviewView mid-session</t>
        </is>
      </c>
      <c r="E24" s="37" t="inlineStr">
        <is>
          <t>Backend (B014)</t>
        </is>
      </c>
      <c r="F24" s="37" t="inlineStr">
        <is>
          <t>iOS WebSocketClient</t>
        </is>
      </c>
      <c r="G24" s="37" t="inlineStr">
        <is>
          <t>WebSocket (RFC 6455)</t>
        </is>
      </c>
      <c r="H24" s="37" t="inlineStr">
        <is>
          <t>No</t>
        </is>
      </c>
      <c r="I24" s="37" t="inlineStr">
        <is>
          <t>JWT in connect param</t>
        </is>
      </c>
      <c r="J24" s="37" t="inlineStr">
        <is>
          <t>Wired</t>
        </is>
      </c>
      <c r="K24" s="37" t="inlineStr">
        <is>
          <t>Wired</t>
        </is>
      </c>
      <c r="L24" s="37" t="inlineStr">
        <is>
          <t>P1</t>
        </is>
      </c>
      <c r="M24" s="37" t="inlineStr">
        <is>
          <t>Done</t>
        </is>
      </c>
      <c r="N24" s="37" t="inlineStr">
        <is>
          <t>M</t>
        </is>
      </c>
      <c r="O24" s="41">
        <f>IF(N24="S",1,IF(N24="M",3,IF(N24="L",8,IF(N24="XL",15,0))))</f>
        <v/>
      </c>
      <c r="P24" s="48" t="n"/>
      <c r="Q24" s="41">
        <f>IF(ISNUMBER(P24),P24,IF(ISNUMBER(O24),O24,0))</f>
        <v/>
      </c>
      <c r="R24" s="37" t="inlineStr">
        <is>
          <t>B010 Notes</t>
        </is>
      </c>
      <c r="S24" s="37" t="inlineStr">
        <is>
          <t>Stage 2 status push not yet on the wire (iOS polls); add post-pilot.</t>
        </is>
      </c>
      <c r="T24" s="37" t="inlineStr">
        <is>
          <t>—</t>
        </is>
      </c>
    </row>
    <row r="25" ht="48" customHeight="1" s="28">
      <c r="A25" s="41" t="inlineStr">
        <is>
          <t>M022</t>
        </is>
      </c>
      <c r="B25" s="37" t="inlineStr">
        <is>
          <t>iOS Keychain</t>
        </is>
      </c>
      <c r="C25" s="37" t="inlineStr">
        <is>
          <t>iOS framework</t>
        </is>
      </c>
      <c r="D25" s="37" t="inlineStr">
        <is>
          <t>Voice embedding + auth token storage</t>
        </is>
      </c>
      <c r="E25" s="37" t="inlineStr">
        <is>
          <t>iOS KeychainHelper</t>
        </is>
      </c>
      <c r="F25" s="37" t="inlineStr">
        <is>
          <t>Keychain</t>
        </is>
      </c>
      <c r="G25" s="37" t="inlineStr">
        <is>
          <t>Native</t>
        </is>
      </c>
      <c r="H25" s="37" t="inlineStr">
        <is>
          <t>No</t>
        </is>
      </c>
      <c r="I25" s="37" t="inlineStr">
        <is>
          <t>—</t>
        </is>
      </c>
      <c r="J25" s="37" t="inlineStr">
        <is>
          <t>Wired</t>
        </is>
      </c>
      <c r="K25" s="37" t="inlineStr">
        <is>
          <t>Wired</t>
        </is>
      </c>
      <c r="L25" s="37" t="inlineStr">
        <is>
          <t>P0</t>
        </is>
      </c>
      <c r="M25" s="37" t="inlineStr">
        <is>
          <t>Done</t>
        </is>
      </c>
      <c r="N25" s="37" t="inlineStr">
        <is>
          <t>S</t>
        </is>
      </c>
      <c r="O25" s="41">
        <f>IF(N25="S",1,IF(N25="M",3,IF(N25="L",8,IF(N25="XL",15,0))))</f>
        <v/>
      </c>
      <c r="P25" s="48" t="n"/>
      <c r="Q25" s="41">
        <f>IF(ISNUMBER(P25),P25,IF(ISNUMBER(O25),O25,0))</f>
        <v/>
      </c>
      <c r="R25" s="37" t="inlineStr">
        <is>
          <t>—</t>
        </is>
      </c>
      <c r="S25" s="37" t="inlineStr">
        <is>
          <t>Voice embedding MUST never transmit — Keychain only.</t>
        </is>
      </c>
      <c r="T25" s="37" t="inlineStr">
        <is>
          <t>—</t>
        </is>
      </c>
    </row>
    <row r="26" ht="48" customHeight="1" s="28">
      <c r="A26" s="41" t="inlineStr">
        <is>
          <t>M023</t>
        </is>
      </c>
      <c r="B26" s="37" t="inlineStr">
        <is>
          <t>iOS UserDefaults</t>
        </is>
      </c>
      <c r="C26" s="37" t="inlineStr">
        <is>
          <t>iOS framework</t>
        </is>
      </c>
      <c r="D26" s="37" t="inlineStr">
        <is>
          <t>Session persistence across crashes + consent metadata</t>
        </is>
      </c>
      <c r="E26" s="37" t="inlineStr">
        <is>
          <t>iOS SessionPersistence</t>
        </is>
      </c>
      <c r="F26" s="37" t="inlineStr">
        <is>
          <t>UserDefaults</t>
        </is>
      </c>
      <c r="G26" s="37" t="inlineStr">
        <is>
          <t>Native</t>
        </is>
      </c>
      <c r="H26" s="37" t="inlineStr">
        <is>
          <t>No</t>
        </is>
      </c>
      <c r="I26" s="37" t="inlineStr">
        <is>
          <t>—</t>
        </is>
      </c>
      <c r="J26" s="37" t="inlineStr">
        <is>
          <t>Wired (M-05 consent metadata persists too)</t>
        </is>
      </c>
      <c r="K26" s="37" t="inlineStr">
        <is>
          <t>Wired</t>
        </is>
      </c>
      <c r="L26" s="37" t="inlineStr">
        <is>
          <t>P1</t>
        </is>
      </c>
      <c r="M26" s="37" t="inlineStr">
        <is>
          <t>Done</t>
        </is>
      </c>
      <c r="N26" s="37" t="inlineStr">
        <is>
          <t>S</t>
        </is>
      </c>
      <c r="O26" s="41">
        <f>IF(N26="S",1,IF(N26="M",3,IF(N26="L",8,IF(N26="XL",15,0))))</f>
        <v/>
      </c>
      <c r="P26" s="48" t="n"/>
      <c r="Q26" s="41">
        <f>IF(ISNUMBER(P26),P26,IF(ISNUMBER(O26),O26,0))</f>
        <v/>
      </c>
      <c r="R26" s="37" t="inlineStr">
        <is>
          <t>—</t>
        </is>
      </c>
      <c r="S26" s="37" t="inlineStr">
        <is>
          <t>—</t>
        </is>
      </c>
      <c r="T26" s="37" t="inlineStr">
        <is>
          <t>Crash recovery validates server-side session state before re-adopting.</t>
        </is>
      </c>
    </row>
    <row r="27" ht="48" customHeight="1" s="28">
      <c r="A27" s="41" t="inlineStr">
        <is>
          <t>M024</t>
        </is>
      </c>
      <c r="B27" s="37" t="inlineStr">
        <is>
          <t>LocalStack</t>
        </is>
      </c>
      <c r="C27" s="37" t="inlineStr">
        <is>
          <t>Dev infra</t>
        </is>
      </c>
      <c r="D27" s="37" t="inlineStr">
        <is>
          <t>S3/DynamoDB/AppConfig/Cognito/KMS/Textract/Secrets Manager emulation for dev</t>
        </is>
      </c>
      <c r="E27" s="37" t="inlineStr">
        <is>
          <t>Docker Compose</t>
        </is>
      </c>
      <c r="F27" s="37" t="inlineStr">
        <is>
          <t>LocalStack</t>
        </is>
      </c>
      <c r="G27" s="37" t="inlineStr">
        <is>
          <t>Docker network</t>
        </is>
      </c>
      <c r="H27" s="37" t="inlineStr">
        <is>
          <t>No</t>
        </is>
      </c>
      <c r="I27" s="37" t="inlineStr">
        <is>
          <t>Auth token</t>
        </is>
      </c>
      <c r="J27" s="37" t="inlineStr">
        <is>
          <t>Wired (init script seeds S3 buckets + AppConfig)</t>
        </is>
      </c>
      <c r="K27" s="37" t="inlineStr">
        <is>
          <t>Wired</t>
        </is>
      </c>
      <c r="L27" s="37" t="inlineStr">
        <is>
          <t>P0</t>
        </is>
      </c>
      <c r="M27" s="37" t="inlineStr">
        <is>
          <t>Done</t>
        </is>
      </c>
      <c r="N27" s="37" t="inlineStr">
        <is>
          <t>M</t>
        </is>
      </c>
      <c r="O27" s="41">
        <f>IF(N27="S",1,IF(N27="M",3,IF(N27="L",8,IF(N27="XL",15,0))))</f>
        <v/>
      </c>
      <c r="P27" s="48" t="n"/>
      <c r="Q27" s="41">
        <f>IF(ISNUMBER(P27),P27,IF(ISNUMBER(O27),O27,0))</f>
        <v/>
      </c>
      <c r="R27" s="37" t="inlineStr">
        <is>
          <t>—</t>
        </is>
      </c>
      <c r="S27" s="37" t="inlineStr">
        <is>
          <t>—</t>
        </is>
      </c>
      <c r="T27" s="37" t="inlineStr">
        <is>
          <t>scripts/localstack-init/setup.sh seeds the env.</t>
        </is>
      </c>
    </row>
    <row r="28" ht="48" customHeight="1" s="28">
      <c r="A28" s="41" t="inlineStr">
        <is>
          <t>M025</t>
        </is>
      </c>
      <c r="B28" s="37" t="inlineStr">
        <is>
          <t>Terraform / HCL infra (Phase 8)</t>
        </is>
      </c>
      <c r="C28" s="37" t="inlineStr">
        <is>
          <t>IaC</t>
        </is>
      </c>
      <c r="D28" s="37" t="inlineStr">
        <is>
          <t>Provision ECS Fargate, RDS, DynamoDB, S3, KMS, Cognito, AppConfig, CloudWatch in ca-central-1</t>
        </is>
      </c>
      <c r="E28" s="37" t="inlineStr">
        <is>
          <t>Operator</t>
        </is>
      </c>
      <c r="F28" s="37" t="inlineStr">
        <is>
          <t>AWS</t>
        </is>
      </c>
      <c r="G28" s="37" t="inlineStr">
        <is>
          <t>Terraform CLI</t>
        </is>
      </c>
      <c r="H28" s="37" t="inlineStr">
        <is>
          <t>No</t>
        </is>
      </c>
      <c r="I28" s="37" t="inlineStr">
        <is>
          <t>AWS admin</t>
        </is>
      </c>
      <c r="J28" s="37" t="inlineStr">
        <is>
          <t>Built (per memory)</t>
        </is>
      </c>
      <c r="K28" s="37" t="inlineStr">
        <is>
          <t>Validate plan against pilot infra before cutover.</t>
        </is>
      </c>
      <c r="L28" s="37" t="inlineStr">
        <is>
          <t>P0</t>
        </is>
      </c>
      <c r="M28" s="37" t="inlineStr">
        <is>
          <t>Done</t>
        </is>
      </c>
      <c r="N28" s="37" t="inlineStr">
        <is>
          <t>L</t>
        </is>
      </c>
      <c r="O28" s="41">
        <f>IF(N28="S",1,IF(N28="M",3,IF(N28="L",8,IF(N28="XL",15,0))))</f>
        <v/>
      </c>
      <c r="P28" s="48" t="n"/>
      <c r="Q28" s="41">
        <f>IF(ISNUMBER(P28),P28,IF(ISNUMBER(O28),O28,0))</f>
        <v/>
      </c>
      <c r="R28" s="37" t="inlineStr">
        <is>
          <t>M006–M013 AWS services</t>
        </is>
      </c>
      <c r="S28" s="37" t="inlineStr">
        <is>
          <t>Per-env tfvars + remote state in S3+DynamoDB lock.</t>
        </is>
      </c>
      <c r="T28" s="37" t="inlineStr">
        <is>
          <t>Re-confirmed in memory: IaC is Terraform, not CDK.</t>
        </is>
      </c>
    </row>
    <row r="30" ht="15" customHeight="1" s="28">
      <c r="N30" s="53" t="inlineStr">
        <is>
          <t>TOTAL (days)</t>
        </is>
      </c>
      <c r="O30" s="54">
        <f>SUM(O4:O28)</f>
        <v/>
      </c>
      <c r="Q30" s="54">
        <f>SUM(Q4:Q28)</f>
        <v/>
      </c>
    </row>
    <row r="31" ht="15" customHeight="1" s="28">
      <c r="N31" s="53" t="inlineStr">
        <is>
          <t>REMAINING (days, excl. Done)</t>
        </is>
      </c>
      <c r="Q31" s="54">
        <f>SUMIFS(Q4:Q28,M4:M28,"&lt;&gt;Done")</f>
        <v/>
      </c>
    </row>
  </sheetData>
  <mergeCells count="1">
    <mergeCell ref="A1:T1"/>
  </mergeCells>
  <dataValidations count="5">
    <dataValidation sqref="L29:L33" showDropDown="0" showInputMessage="0" showErrorMessage="0" allowBlank="1" type="list" errorStyle="stop" operator="between">
      <formula1>"Not Started,In Progress,Blocked,Done"</formula1>
      <formula2>0</formula2>
    </dataValidation>
    <dataValidation sqref="M4:N28 M29:M33" showDropDown="0" showInputMessage="0" showErrorMessage="0" allowBlank="1" type="list" errorStyle="stop" operator="between">
      <formula1>"S,M,L,XL"</formula1>
      <formula2>0</formula2>
    </dataValidation>
    <dataValidation sqref="J4:L28 K29:K33" showDropDown="0" showInputMessage="0" showErrorMessage="0" allowBlank="1" type="list" errorStyle="stop" operator="between">
      <formula1>"Must,Should,Could,Won't"</formula1>
      <formula2>0</formula2>
    </dataValidation>
    <dataValidation sqref="H4:H33" showDropDown="0" showInputMessage="0" showErrorMessage="0" allowBlank="1" type="list" errorStyle="stop" operator="between">
      <formula1>"Yes,No"</formula1>
      <formula2>0</formula2>
    </dataValidation>
    <dataValidation sqref="C4:C28" showDropDown="0" showInputMessage="0" showErrorMessage="0" allowBlank="1" type="list" errorStyle="stop" operator="between">
      <formula1>"Microservice,Message Queue,Database,Cache,Object Storage,Auth Provider,Email/SMS,Payment Gateway,Analytics,Monitoring,CI/CD,Webhook,Other"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2026-05-13T19:58:47Z</dcterms:created>
  <dcterms:modified xmlns:dcterms="http://purl.org/dc/terms/" xmlns:xsi="http://www.w3.org/2001/XMLSchema-instance" xsi:type="dcterms:W3CDTF">2026-05-19T16:27:34Z</dcterms:modified>
  <cp:revision>0</cp:revision>
</cp:coreProperties>
</file>