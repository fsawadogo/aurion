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bile" sheetId="2" state="visible" r:id="rId2"/>
    <sheet xmlns:r="http://schemas.openxmlformats.org/officeDocument/2006/relationships" name="Web Portal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Infrastructure" sheetId="5" state="visible" r:id="rId5"/>
    <sheet xmlns:r="http://schemas.openxmlformats.org/officeDocument/2006/relationships" name="Production Rollout" sheetId="6" state="visible" r:id="rId6"/>
    <sheet xmlns:r="http://schemas.openxmlformats.org/officeDocument/2006/relationships" name="Exter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  <font>
      <b val="1"/>
      <color rgb="00FFFFFF"/>
      <sz val="11"/>
    </font>
    <font>
      <b val="1"/>
      <color rgb="00C00000"/>
    </font>
    <font>
      <b val="1"/>
      <sz val="14"/>
    </font>
    <font>
      <i val="1"/>
      <color rgb="00595959"/>
    </font>
    <font>
      <b val="1"/>
      <i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4B7E4"/>
      </patternFill>
    </fill>
    <fill>
      <patternFill patternType="solid">
        <fgColor rgb="00FFEB9C"/>
      </patternFill>
    </fill>
    <fill>
      <patternFill patternType="solid">
        <fgColor rgb="00FFD7A8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2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AURION — Effort Estimation v5 (Consolidated)</t>
        </is>
      </c>
    </row>
    <row r="2" ht="50" customHeight="1">
      <c r="A2" s="2" t="inlineStr">
        <is>
          <t>Mobile + Web Portal + Backend + Infra + Production Rollout. Reconciled 2026-05-22. Claude-Code-Days reflects the autonomous workflow pace (AURION-CODING-WORKFLOW.md), not human-dev pace.</t>
        </is>
      </c>
    </row>
    <row r="4">
      <c r="A4" s="3" t="inlineStr">
        <is>
          <t>LEGEND</t>
        </is>
      </c>
    </row>
    <row r="5">
      <c r="A5" s="4" t="inlineStr">
        <is>
          <t>🟢 Done</t>
        </is>
      </c>
      <c r="B5" s="2" t="inlineStr">
        <is>
          <t>Shipped + verified. Commit SHA in Notes column.</t>
        </is>
      </c>
    </row>
    <row r="6">
      <c r="A6" s="4" t="inlineStr">
        <is>
          <t>🟡 Verify</t>
        </is>
      </c>
      <c r="B6" s="2" t="inlineStr">
        <is>
          <t>Code shipped; needs end-to-end verification before claiming Done.</t>
        </is>
      </c>
    </row>
    <row r="7">
      <c r="A7" s="4" t="inlineStr">
        <is>
          <t>🟠 Not Started</t>
        </is>
      </c>
      <c r="B7" s="2" t="inlineStr">
        <is>
          <t>MVP scope. 0% built.</t>
        </is>
      </c>
    </row>
    <row r="8">
      <c r="A8" s="4" t="inlineStr">
        <is>
          <t>🔴 Blocker</t>
        </is>
      </c>
      <c r="B8" s="2" t="inlineStr">
        <is>
          <t>Hard prerequisite for the next phase. Resolve first.</t>
        </is>
      </c>
    </row>
    <row r="9">
      <c r="A9" s="4" t="inlineStr">
        <is>
          <t>🔵 In Progress</t>
        </is>
      </c>
      <c r="B9" s="2" t="inlineStr">
        <is>
          <t>Partial — some sub-tasks shipped, others pending.</t>
        </is>
      </c>
    </row>
    <row r="10">
      <c r="A10" s="4" t="inlineStr">
        <is>
          <t>🟣 Future</t>
        </is>
      </c>
      <c r="B10" s="2" t="inlineStr">
        <is>
          <t>Out-of-MVP. Estimated for visibility but not in pilot path.</t>
        </is>
      </c>
    </row>
    <row r="13">
      <c r="A13" s="5" t="inlineStr">
        <is>
          <t>ROLL-UP BY LANE</t>
        </is>
      </c>
    </row>
    <row r="15">
      <c r="A15" s="6" t="inlineStr">
        <is>
          <t>Lane</t>
        </is>
      </c>
      <c r="B15" s="6" t="inlineStr">
        <is>
          <t>Items</t>
        </is>
      </c>
      <c r="C15" s="6" t="inlineStr">
        <is>
          <t>Done</t>
        </is>
      </c>
      <c r="D15" s="6" t="inlineStr">
        <is>
          <t>Verify</t>
        </is>
      </c>
      <c r="E15" s="6" t="inlineStr">
        <is>
          <t>Not Started</t>
        </is>
      </c>
      <c r="F15" s="6" t="inlineStr">
        <is>
          <t>Blocker</t>
        </is>
      </c>
      <c r="G15" s="6" t="inlineStr">
        <is>
          <t>Future</t>
        </is>
      </c>
      <c r="H15" s="6" t="inlineStr">
        <is>
          <t>Human-Days Remaining</t>
        </is>
      </c>
      <c r="I15" s="6" t="inlineStr">
        <is>
          <t>Claude-Days Remaining</t>
        </is>
      </c>
    </row>
    <row r="16">
      <c r="A16" s="7" t="inlineStr">
        <is>
          <t>Mobile (iOS)</t>
        </is>
      </c>
      <c r="B16" s="7" t="n">
        <v>37</v>
      </c>
      <c r="C16" s="7">
        <f>COUNTIF('Mobile'!C5:C41,"*Done*")</f>
        <v/>
      </c>
      <c r="D16" s="7">
        <f>COUNTIF('Mobile'!C5:C41,"*Verify*")</f>
        <v/>
      </c>
      <c r="E16" s="7">
        <f>COUNTIF('Mobile'!C5:C41,"*Not Started*")</f>
        <v/>
      </c>
      <c r="F16" s="7">
        <f>COUNTIF('Mobile'!C5:C41,"*Blocker*")</f>
        <v/>
      </c>
      <c r="G16" s="7">
        <f>COUNTIF('Mobile'!C5:C41,"*Future*")</f>
        <v/>
      </c>
      <c r="H16" s="7">
        <f>SUMPRODUCT((NOT(ISNUMBER(SEARCH("Done",'Mobile'!C5:C41))))*(NOT(ISNUMBER(SEARCH("Future",'Mobile'!C5:C41))))*'Mobile'!E5:E41)</f>
        <v/>
      </c>
      <c r="I16" s="7">
        <f>SUMPRODUCT((NOT(ISNUMBER(SEARCH("Done",'Mobile'!C5:C41))))*(NOT(ISNUMBER(SEARCH("Future",'Mobile'!C5:C41))))*'Mobile'!F5:F41)</f>
        <v/>
      </c>
    </row>
    <row r="17">
      <c r="A17" s="7" t="inlineStr">
        <is>
          <t>Web Portal</t>
        </is>
      </c>
      <c r="B17" s="7" t="n">
        <v>27</v>
      </c>
      <c r="C17" s="7">
        <f>COUNTIF('Web Portal'!C5:C31,"*Done*")</f>
        <v/>
      </c>
      <c r="D17" s="7">
        <f>COUNTIF('Web Portal'!C5:C31,"*Verify*")</f>
        <v/>
      </c>
      <c r="E17" s="7">
        <f>COUNTIF('Web Portal'!C5:C31,"*Not Started*")</f>
        <v/>
      </c>
      <c r="F17" s="7">
        <f>COUNTIF('Web Portal'!C5:C31,"*Blocker*")</f>
        <v/>
      </c>
      <c r="G17" s="7">
        <f>COUNTIF('Web Portal'!C5:C31,"*Future*")</f>
        <v/>
      </c>
      <c r="H17" s="7">
        <f>SUMPRODUCT((NOT(ISNUMBER(SEARCH("Done",'Web Portal'!C5:C31))))*(NOT(ISNUMBER(SEARCH("Future",'Web Portal'!C5:C31))))*'Web Portal'!E5:E31)</f>
        <v/>
      </c>
      <c r="I17" s="7">
        <f>SUMPRODUCT((NOT(ISNUMBER(SEARCH("Done",'Web Portal'!C5:C31))))*(NOT(ISNUMBER(SEARCH("Future",'Web Portal'!C5:C31))))*'Web Portal'!F5:F31)</f>
        <v/>
      </c>
    </row>
    <row r="18">
      <c r="A18" s="7" t="inlineStr">
        <is>
          <t>Backend Services</t>
        </is>
      </c>
      <c r="B18" s="7" t="n">
        <v>44</v>
      </c>
      <c r="C18" s="7">
        <f>COUNTIF('Backend'!C5:C48,"*Done*")</f>
        <v/>
      </c>
      <c r="D18" s="7">
        <f>COUNTIF('Backend'!C5:C48,"*Verify*")</f>
        <v/>
      </c>
      <c r="E18" s="7">
        <f>COUNTIF('Backend'!C5:C48,"*Not Started*")</f>
        <v/>
      </c>
      <c r="F18" s="7">
        <f>COUNTIF('Backend'!C5:C48,"*Blocker*")</f>
        <v/>
      </c>
      <c r="G18" s="7">
        <f>COUNTIF('Backend'!C5:C48,"*Future*")</f>
        <v/>
      </c>
      <c r="H18" s="7">
        <f>SUMPRODUCT((NOT(ISNUMBER(SEARCH("Done",'Backend'!C5:C48))))*(NOT(ISNUMBER(SEARCH("Future",'Backend'!C5:C48))))*'Backend'!E5:E48)</f>
        <v/>
      </c>
      <c r="I18" s="7">
        <f>SUMPRODUCT((NOT(ISNUMBER(SEARCH("Done",'Backend'!C5:C48))))*(NOT(ISNUMBER(SEARCH("Future",'Backend'!C5:C48))))*'Backend'!F5:F48)</f>
        <v/>
      </c>
    </row>
    <row r="19">
      <c r="A19" s="7" t="inlineStr">
        <is>
          <t>Infrastructure / AWS</t>
        </is>
      </c>
      <c r="B19" s="7" t="n">
        <v>24</v>
      </c>
      <c r="C19" s="7">
        <f>COUNTIF('Infrastructure'!C5:C28,"*Done*")</f>
        <v/>
      </c>
      <c r="D19" s="7">
        <f>COUNTIF('Infrastructure'!C5:C28,"*Verify*")</f>
        <v/>
      </c>
      <c r="E19" s="7">
        <f>COUNTIF('Infrastructure'!C5:C28,"*Not Started*")</f>
        <v/>
      </c>
      <c r="F19" s="7">
        <f>COUNTIF('Infrastructure'!C5:C28,"*Blocker*")</f>
        <v/>
      </c>
      <c r="G19" s="7">
        <f>COUNTIF('Infrastructure'!C5:C28,"*Future*")</f>
        <v/>
      </c>
      <c r="H19" s="7">
        <f>SUMPRODUCT((NOT(ISNUMBER(SEARCH("Done",'Infrastructure'!C5:C28))))*(NOT(ISNUMBER(SEARCH("Future",'Infrastructure'!C5:C28))))*'Infrastructure'!E5:E28)</f>
        <v/>
      </c>
      <c r="I19" s="7">
        <f>SUMPRODUCT((NOT(ISNUMBER(SEARCH("Done",'Infrastructure'!C5:C28))))*(NOT(ISNUMBER(SEARCH("Future",'Infrastructure'!C5:C28))))*'Infrastructure'!F5:F28)</f>
        <v/>
      </c>
    </row>
    <row r="20">
      <c r="A20" s="7" t="inlineStr">
        <is>
          <t>Production Rollout</t>
        </is>
      </c>
      <c r="B20" s="7" t="n">
        <v>5</v>
      </c>
      <c r="C20" s="7">
        <f>COUNTIF('Production Rollout'!C5:C9,"*Done*")</f>
        <v/>
      </c>
      <c r="D20" s="7">
        <f>COUNTIF('Production Rollout'!C5:C9,"*Verify*")</f>
        <v/>
      </c>
      <c r="E20" s="7">
        <f>COUNTIF('Production Rollout'!C5:C9,"*Not Started*")</f>
        <v/>
      </c>
      <c r="F20" s="7">
        <f>COUNTIF('Production Rollout'!C5:C9,"*Blocker*")</f>
        <v/>
      </c>
      <c r="G20" s="7">
        <f>COUNTIF('Production Rollout'!C5:C9,"*Future*")</f>
        <v/>
      </c>
      <c r="H20" s="7">
        <f>SUMPRODUCT((NOT(ISNUMBER(SEARCH("Done",'Production Rollout'!C5:C9))))*(NOT(ISNUMBER(SEARCH("Future",'Production Rollout'!C5:C9))))*'Production Rollout'!E5:E9)</f>
        <v/>
      </c>
      <c r="I20" s="7">
        <f>SUMPRODUCT((NOT(ISNUMBER(SEARCH("Done",'Production Rollout'!C5:C9))))*(NOT(ISNUMBER(SEARCH("Future",'Production Rollout'!C5:C9))))*'Production Rollout'!F5:F9)</f>
        <v/>
      </c>
    </row>
    <row r="21">
      <c r="A21" s="7" t="inlineStr">
        <is>
          <t>External Blockers</t>
        </is>
      </c>
      <c r="B21" s="7" t="n">
        <v>8</v>
      </c>
      <c r="C21" s="7">
        <f>COUNTIF('External'!C5:C12,"*Done*")</f>
        <v/>
      </c>
      <c r="D21" s="7">
        <f>COUNTIF('External'!C5:C12,"*Verify*")</f>
        <v/>
      </c>
      <c r="E21" s="7">
        <f>COUNTIF('External'!C5:C12,"*Not Started*")</f>
        <v/>
      </c>
      <c r="F21" s="7">
        <f>COUNTIF('External'!C5:C12,"*Blocker*")</f>
        <v/>
      </c>
      <c r="G21" s="7">
        <f>COUNTIF('External'!C5:C12,"*Future*")</f>
        <v/>
      </c>
      <c r="H21" s="7">
        <f>SUMPRODUCT((NOT(ISNUMBER(SEARCH("Done",'External'!C5:C12))))*(NOT(ISNUMBER(SEARCH("Future",'External'!C5:C12))))*'External'!E5:E12)</f>
        <v/>
      </c>
      <c r="I21" s="7">
        <f>SUMPRODUCT((NOT(ISNUMBER(SEARCH("Done",'External'!C5:C12))))*(NOT(ISNUMBER(SEARCH("Future",'External'!C5:C12))))*'External'!F5:F12)</f>
        <v/>
      </c>
    </row>
    <row r="22">
      <c r="A22" s="8" t="inlineStr">
        <is>
          <t>GRAND TOTAL</t>
        </is>
      </c>
      <c r="B22" s="8">
        <f>SUM(B16:B21)</f>
        <v/>
      </c>
      <c r="C22" s="8">
        <f>SUM(C16:C21)</f>
        <v/>
      </c>
      <c r="D22" s="8">
        <f>SUM(D16:D21)</f>
        <v/>
      </c>
      <c r="E22" s="8">
        <f>SUM(E16:E21)</f>
        <v/>
      </c>
      <c r="F22" s="8">
        <f>SUM(F16:F21)</f>
        <v/>
      </c>
      <c r="G22" s="8">
        <f>SUM(G16:G21)</f>
        <v/>
      </c>
      <c r="H22" s="8">
        <f>SUM(H16:H21)</f>
        <v/>
      </c>
      <c r="I22" s="8">
        <f>SUM(I16:I21)</f>
        <v/>
      </c>
    </row>
    <row r="25">
      <c r="A25" s="5" t="inlineStr">
        <is>
          <t>CRITICAL PATH TO PILOT</t>
        </is>
      </c>
    </row>
    <row r="26">
      <c r="A26" t="inlineStr">
        <is>
          <t>Backend physician workflow (WB20 → WB21 → WB22 → WB24, serial)</t>
        </is>
      </c>
      <c r="B26" t="inlineStr">
        <is>
          <t>~6 days</t>
        </is>
      </c>
    </row>
    <row r="27">
      <c r="A27" t="inlineStr">
        <is>
          <t>Web frontend physician workflow (W021 → W028 → W029, after backend ready)</t>
        </is>
      </c>
      <c r="B27" t="inlineStr">
        <is>
          <t>~8 days</t>
        </is>
      </c>
    </row>
    <row r="28">
      <c r="A28" t="inlineStr">
        <is>
          <t>Web admin polish + Amplify + Prod Phase 4-5 (parallel)</t>
        </is>
      </c>
      <c r="B28" t="inlineStr">
        <is>
          <t>~3 days</t>
        </is>
      </c>
    </row>
    <row r="29">
      <c r="A29" t="inlineStr">
        <is>
          <t>Tests + go-live gate</t>
        </is>
      </c>
      <c r="B29" t="inlineStr">
        <is>
          <t>~2 days</t>
        </is>
      </c>
    </row>
    <row r="30">
      <c r="A30" t="inlineStr">
        <is>
          <t>iOS polish + Config.swift dev/prod swap</t>
        </is>
      </c>
      <c r="B30" t="inlineStr">
        <is>
          <t>~1 day</t>
        </is>
      </c>
    </row>
    <row r="31">
      <c r="A31" s="3" t="inlineStr">
        <is>
          <t>CRITICAL PATH TOTAL (with lane parallelism)</t>
        </is>
      </c>
      <c r="B31" s="3" t="inlineStr">
        <is>
          <t>~13 working days</t>
        </is>
      </c>
    </row>
    <row r="32">
      <c r="A32" t="inlineStr"/>
      <c r="B32" t="inlineStr"/>
    </row>
    <row r="33">
      <c r="A33" s="9" t="inlineStr">
        <is>
          <t>EXTERNAL BLOCKERS (calendar, NOT engineering)</t>
        </is>
      </c>
      <c r="B33" t="inlineStr"/>
    </row>
    <row r="34">
      <c r="A34" t="inlineStr">
        <is>
          <t>Apple Dev activation</t>
        </is>
      </c>
      <c r="B34" t="inlineStr">
        <is>
          <t>DONE 2026-05-22</t>
        </is>
      </c>
    </row>
    <row r="35">
      <c r="A35" t="inlineStr">
        <is>
          <t>Domain delegation (Cloudflare) + Phase 2 apply</t>
        </is>
      </c>
      <c r="B35" t="inlineStr">
        <is>
          <t>~1 day</t>
        </is>
      </c>
    </row>
    <row r="36">
      <c r="A36" t="inlineStr">
        <is>
          <t>Initial Phase 2 full apply + smoke test</t>
        </is>
      </c>
      <c r="B36" t="inlineStr">
        <is>
          <t>~1 day</t>
        </is>
      </c>
    </row>
    <row r="37">
      <c r="A37" t="inlineStr">
        <is>
          <t>Pilot physician onboarding + TestFlight invites</t>
        </is>
      </c>
      <c r="B37" t="inlineStr">
        <is>
          <t>~2-3 days</t>
        </is>
      </c>
    </row>
    <row r="38">
      <c r="A38" t="inlineStr">
        <is>
          <t>DPIA + consent forms + clinical safety committee sign-off</t>
        </is>
      </c>
      <c r="B38" t="inlineStr">
        <is>
          <t>~2-4 weeks</t>
        </is>
      </c>
    </row>
    <row r="39">
      <c r="A39" t="inlineStr"/>
      <c r="B39" t="inlineStr"/>
    </row>
    <row r="40">
      <c r="A40" s="3" t="inlineStr">
        <is>
          <t>Pilot-ready calendar estimate</t>
        </is>
      </c>
      <c r="B40" s="3" t="inlineStr">
        <is>
          <t>5-7 weeks from 2026-05-22 → 2026-06-26 to 2026-07-10</t>
        </is>
      </c>
    </row>
    <row r="41">
      <c r="A41" s="3" t="inlineStr">
        <is>
          <t>Demo target</t>
        </is>
      </c>
      <c r="B41" s="3" t="inlineStr">
        <is>
          <t>2026-07-15 (~1 week buffer)</t>
        </is>
      </c>
    </row>
    <row r="43">
      <c r="A43" s="3" t="inlineStr">
        <is>
          <t>CLAUDE-CODE-PACE CONVERSION (observed in this build session)</t>
        </is>
      </c>
    </row>
    <row r="44">
      <c r="A44" t="inlineStr">
        <is>
          <t>S (1d human) → 0.1–0.25 Claude-d</t>
        </is>
      </c>
      <c r="B44" s="2" t="inlineStr">
        <is>
          <t>Single-file edits, small refactors, config swaps.</t>
        </is>
      </c>
    </row>
    <row r="45">
      <c r="A45" t="inlineStr">
        <is>
          <t>M (3d human) → 0.5–0.75 Claude-d</t>
        </is>
      </c>
      <c r="B45" s="2" t="inlineStr">
        <is>
          <t>Multi-file refactors, new endpoints, screen scaffolds.</t>
        </is>
      </c>
    </row>
    <row r="46">
      <c r="A46" t="inlineStr">
        <is>
          <t>L (8d human) → 1.0–2.0 Claude-d</t>
        </is>
      </c>
      <c r="B46" s="2" t="inlineStr">
        <is>
          <t>Cross-cutting features, new modules, integration work.</t>
        </is>
      </c>
    </row>
    <row r="47">
      <c r="A47" t="inlineStr">
        <is>
          <t>XL (15-24d human) → 2.5–5.0 Claude-d</t>
        </is>
      </c>
      <c r="B47" s="2" t="inlineStr">
        <is>
          <t>Net-new screens with state machine + tests (W028 Visit Workspace is the upper bound).</t>
        </is>
      </c>
    </row>
    <row r="48">
      <c r="A48" t="inlineStr">
        <is>
          <t>External blockers (Apple, DNS, IRB, insurance)</t>
        </is>
      </c>
      <c r="B48" s="2" t="inlineStr">
        <is>
          <t>No compression. Wall-clock dominated.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9" customWidth="1" min="4" max="4"/>
    <col width="16" customWidth="1" min="5" max="5"/>
    <col width="17" customWidth="1" min="6" max="6"/>
    <col width="60" customWidth="1" min="7" max="7"/>
    <col width="30" customWidth="1" min="8" max="8"/>
  </cols>
  <sheetData>
    <row r="1">
      <c r="A1" s="10" t="inlineStr">
        <is>
          <t>MOBILE — iOS App</t>
        </is>
      </c>
    </row>
    <row r="2">
      <c r="A2" s="11" t="inlineStr">
        <is>
          <t>Lane: Mobile (iOS) · status as-of 2026-05-22</t>
        </is>
      </c>
    </row>
    <row r="4">
      <c r="A4" s="6" t="inlineStr">
        <is>
          <t>ID</t>
        </is>
      </c>
      <c r="B4" s="6" t="inlineStr">
        <is>
          <t>Name / Description</t>
        </is>
      </c>
      <c r="C4" s="6" t="inlineStr">
        <is>
          <t>Status</t>
        </is>
      </c>
      <c r="D4" s="6" t="inlineStr">
        <is>
          <t>S/M/L/XL</t>
        </is>
      </c>
      <c r="E4" s="6" t="inlineStr">
        <is>
          <t>Human-Days (P50)</t>
        </is>
      </c>
      <c r="F4" s="6" t="inlineStr">
        <is>
          <t>Claude-Code-Days</t>
        </is>
      </c>
      <c r="G4" s="6" t="inlineStr">
        <is>
          <t>Notes / Commit</t>
        </is>
      </c>
      <c r="H4" s="6" t="inlineStr">
        <is>
          <t>Pre-requisites</t>
        </is>
      </c>
    </row>
    <row r="5">
      <c r="A5" s="12" t="inlineStr">
        <is>
          <t>S001</t>
        </is>
      </c>
      <c r="B5" s="12" t="inlineStr">
        <is>
          <t>SplashView</t>
        </is>
      </c>
      <c r="C5" s="13" t="inlineStr">
        <is>
          <t>🟢 Done</t>
        </is>
      </c>
      <c r="D5" s="13" t="inlineStr">
        <is>
          <t>S</t>
        </is>
      </c>
      <c r="E5" s="13" t="n">
        <v>1</v>
      </c>
      <c r="F5" s="13" t="n">
        <v>0.25</v>
      </c>
      <c r="G5" s="12" t="inlineStr">
        <is>
          <t>Built. UI-P1 token refresh applied.</t>
        </is>
      </c>
      <c r="H5" s="12" t="inlineStr">
        <is>
          <t>—</t>
        </is>
      </c>
    </row>
    <row r="6">
      <c r="A6" s="12" t="inlineStr">
        <is>
          <t>S002</t>
        </is>
      </c>
      <c r="B6" s="12" t="inlineStr">
        <is>
          <t>AuthView + LoginView + RegisterView</t>
        </is>
      </c>
      <c r="C6" s="13" t="inlineStr">
        <is>
          <t>🟢 Done</t>
        </is>
      </c>
      <c r="D6" s="13" t="inlineStr">
        <is>
          <t>M</t>
        </is>
      </c>
      <c r="E6" s="13" t="n">
        <v>3</v>
      </c>
      <c r="F6" s="13" t="n">
        <v>0.5</v>
      </c>
      <c r="G6" s="12" t="inlineStr">
        <is>
          <t>Built. UI-P6 toast → material.</t>
        </is>
      </c>
      <c r="H6" s="12" t="inlineStr">
        <is>
          <t>B001 Auth</t>
        </is>
      </c>
    </row>
    <row r="7">
      <c r="A7" s="12" t="inlineStr">
        <is>
          <t>S003</t>
        </is>
      </c>
      <c r="B7" s="12" t="inlineStr">
        <is>
          <t>BiometricConsentView</t>
        </is>
      </c>
      <c r="C7" s="13" t="inlineStr">
        <is>
          <t>🟢 Done</t>
        </is>
      </c>
      <c r="D7" s="13" t="inlineStr">
        <is>
          <t>S</t>
        </is>
      </c>
      <c r="E7" s="13" t="n">
        <v>1</v>
      </c>
      <c r="F7" s="13" t="n">
        <v>0.25</v>
      </c>
      <c r="G7" s="12" t="inlineStr">
        <is>
          <t>biometric_consent_confirmed audit event wired.</t>
        </is>
      </c>
      <c r="H7" s="12" t="inlineStr">
        <is>
          <t>—</t>
        </is>
      </c>
    </row>
    <row r="8">
      <c r="A8" s="12" t="inlineStr">
        <is>
          <t>S004</t>
        </is>
      </c>
      <c r="B8" s="12" t="inlineStr">
        <is>
          <t>VoiceExplanationView</t>
        </is>
      </c>
      <c r="C8" s="13" t="inlineStr">
        <is>
          <t>🟢 Done</t>
        </is>
      </c>
      <c r="D8" s="13" t="inlineStr">
        <is>
          <t>S</t>
        </is>
      </c>
      <c r="E8" s="13" t="n">
        <v>1</v>
      </c>
      <c r="F8" s="13" t="n">
        <v>0.25</v>
      </c>
      <c r="G8" s="12" t="inlineStr">
        <is>
          <t>Built.</t>
        </is>
      </c>
      <c r="H8" s="12" t="inlineStr">
        <is>
          <t>—</t>
        </is>
      </c>
    </row>
    <row r="9">
      <c r="A9" s="12" t="inlineStr">
        <is>
          <t>S005</t>
        </is>
      </c>
      <c r="B9" s="12" t="inlineStr">
        <is>
          <t>VoiceRecordingView</t>
        </is>
      </c>
      <c r="C9" s="13" t="inlineStr">
        <is>
          <t>🟢 Done</t>
        </is>
      </c>
      <c r="D9" s="13" t="inlineStr">
        <is>
          <t>L</t>
        </is>
      </c>
      <c r="E9" s="13" t="n">
        <v>8</v>
      </c>
      <c r="F9" s="13" t="n">
        <v>1.5</v>
      </c>
      <c r="G9" s="12" t="inlineStr">
        <is>
          <t>Built (M-01 reconciled embedding dims). Raw audio purged immediately.</t>
        </is>
      </c>
      <c r="H9" s="12" t="inlineStr">
        <is>
          <t>—</t>
        </is>
      </c>
    </row>
    <row r="10">
      <c r="A10" s="12" t="inlineStr">
        <is>
          <t>S006</t>
        </is>
      </c>
      <c r="B10" s="12" t="inlineStr">
        <is>
          <t>VoiceProcessingView</t>
        </is>
      </c>
      <c r="C10" s="13" t="inlineStr">
        <is>
          <t>🟢 Done</t>
        </is>
      </c>
      <c r="D10" s="13" t="inlineStr">
        <is>
          <t>M</t>
        </is>
      </c>
      <c r="E10" s="13" t="n">
        <v>3</v>
      </c>
      <c r="F10" s="13" t="n">
        <v>0.5</v>
      </c>
      <c r="G10" s="12" t="inlineStr">
        <is>
          <t>128-dim MFCC → Keychain only. Embedding never transmitted.</t>
        </is>
      </c>
      <c r="H10" s="12" t="inlineStr">
        <is>
          <t>S005</t>
        </is>
      </c>
    </row>
    <row r="11">
      <c r="A11" s="12" t="inlineStr">
        <is>
          <t>S007</t>
        </is>
      </c>
      <c r="B11" s="12" t="inlineStr">
        <is>
          <t>WearableSetupView</t>
        </is>
      </c>
      <c r="C11" s="13" t="inlineStr">
        <is>
          <t>🟢 Done</t>
        </is>
      </c>
      <c r="D11" s="13" t="inlineStr">
        <is>
          <t>M</t>
        </is>
      </c>
      <c r="E11" s="13" t="n">
        <v>3</v>
      </c>
      <c r="F11" s="13" t="n">
        <v>0.5</v>
      </c>
      <c r="G11" s="12" t="inlineStr">
        <is>
          <t>iPhone fallback path; Ray-Ban Meta deferred.</t>
        </is>
      </c>
      <c r="H11" s="12" t="inlineStr">
        <is>
          <t>M019 Meta SDK (deferred)</t>
        </is>
      </c>
    </row>
    <row r="12">
      <c r="A12" s="12" t="inlineStr">
        <is>
          <t>S008</t>
        </is>
      </c>
      <c r="B12" s="12" t="inlineStr">
        <is>
          <t>OnboardingFlowView</t>
        </is>
      </c>
      <c r="C12" s="13" t="inlineStr">
        <is>
          <t>🟢 Done</t>
        </is>
      </c>
      <c r="D12" s="13" t="inlineStr">
        <is>
          <t>M</t>
        </is>
      </c>
      <c r="E12" s="13" t="n">
        <v>3</v>
      </c>
      <c r="F12" s="13" t="n">
        <v>0.5</v>
      </c>
      <c r="G12" s="12" t="inlineStr">
        <is>
          <t>Step orchestration + accessibility passes.</t>
        </is>
      </c>
      <c r="H12" s="12" t="inlineStr">
        <is>
          <t>S003–S007</t>
        </is>
      </c>
    </row>
    <row r="13">
      <c r="A13" s="12" t="inlineStr">
        <is>
          <t>S009</t>
        </is>
      </c>
      <c r="B13" s="12" t="inlineStr">
        <is>
          <t>PhysicianProfileSetupView</t>
        </is>
      </c>
      <c r="C13" s="13" t="inlineStr">
        <is>
          <t>🟢 Done</t>
        </is>
      </c>
      <c r="D13" s="13" t="inlineStr">
        <is>
          <t>M</t>
        </is>
      </c>
      <c r="E13" s="13" t="n">
        <v>3</v>
      </c>
      <c r="F13" s="13" t="n">
        <v>0.5</v>
      </c>
      <c r="G13" s="12" t="inlineStr">
        <is>
          <t>iPad-adaptive (UI-P6).</t>
        </is>
      </c>
      <c r="H13" s="12" t="inlineStr">
        <is>
          <t>B002 Profile</t>
        </is>
      </c>
    </row>
    <row r="14">
      <c r="A14" s="12" t="inlineStr">
        <is>
          <t>S010</t>
        </is>
      </c>
      <c r="B14" s="12" t="inlineStr">
        <is>
          <t>MainTabView</t>
        </is>
      </c>
      <c r="C14" s="13" t="inlineStr">
        <is>
          <t>🟢 Done</t>
        </is>
      </c>
      <c r="D14" s="13" t="inlineStr">
        <is>
          <t>S</t>
        </is>
      </c>
      <c r="E14" s="13" t="n">
        <v>1</v>
      </c>
      <c r="F14" s="13" t="n">
        <v>0.25</v>
      </c>
      <c r="G14" s="12" t="inlineStr">
        <is>
          <t>UI-P2 native TabView + iPad sidebarAdaptable.</t>
        </is>
      </c>
      <c r="H14" s="12" t="inlineStr">
        <is>
          <t>S011, S013, S017</t>
        </is>
      </c>
    </row>
    <row r="15">
      <c r="A15" s="12" t="inlineStr">
        <is>
          <t>S011</t>
        </is>
      </c>
      <c r="B15" s="12" t="inlineStr">
        <is>
          <t>DashboardView</t>
        </is>
      </c>
      <c r="C15" s="13" t="inlineStr">
        <is>
          <t>🟢 Done</t>
        </is>
      </c>
      <c r="D15" s="13" t="inlineStr">
        <is>
          <t>M</t>
        </is>
      </c>
      <c r="E15" s="13" t="n">
        <v>3</v>
      </c>
      <c r="F15" s="13" t="n">
        <v>0.5</v>
      </c>
      <c r="G15" s="12" t="inlineStr">
        <is>
          <t>M-07 Stage 2 tile; readable-measure clamp (UI-P6).</t>
        </is>
      </c>
      <c r="H15" s="12" t="inlineStr">
        <is>
          <t>B006, B010, M021</t>
        </is>
      </c>
    </row>
    <row r="16">
      <c r="A16" s="12" t="inlineStr">
        <is>
          <t>S012</t>
        </is>
      </c>
      <c r="B16" s="12" t="inlineStr">
        <is>
          <t>CaptureView</t>
        </is>
      </c>
      <c r="C16" s="13" t="inlineStr">
        <is>
          <t>🟢 Done</t>
        </is>
      </c>
      <c r="D16" s="13" t="inlineStr">
        <is>
          <t>XL</t>
        </is>
      </c>
      <c r="E16" s="13" t="n">
        <v>15</v>
      </c>
      <c r="F16" s="13" t="n">
        <v>3</v>
      </c>
      <c r="G16" s="12" t="inlineStr">
        <is>
          <t>M-02/M-05/M-06 done. Live Activity start/pause/resume wired (UI-P4b).</t>
        </is>
      </c>
      <c r="H16" s="12" t="inlineStr">
        <is>
          <t>Apple Vision, AVFoundation, ReplayKit</t>
        </is>
      </c>
    </row>
    <row r="17">
      <c r="A17" s="12" t="inlineStr">
        <is>
          <t>S013</t>
        </is>
      </c>
      <c r="B17" s="12" t="inlineStr">
        <is>
          <t>DeviceHubView</t>
        </is>
      </c>
      <c r="C17" s="13" t="inlineStr">
        <is>
          <t>🟢 Done</t>
        </is>
      </c>
      <c r="D17" s="13" t="inlineStr">
        <is>
          <t>M</t>
        </is>
      </c>
      <c r="E17" s="13" t="n">
        <v>3</v>
      </c>
      <c r="F17" s="13" t="n">
        <v>0.5</v>
      </c>
      <c r="G17" s="12" t="inlineStr">
        <is>
          <t>UI-P6 iPad clamp + a11y labels.</t>
        </is>
      </c>
      <c r="H17" s="12" t="inlineStr">
        <is>
          <t>M020 BLE</t>
        </is>
      </c>
    </row>
    <row r="18">
      <c r="A18" s="12" t="inlineStr">
        <is>
          <t>S014</t>
        </is>
      </c>
      <c r="B18" s="12" t="inlineStr">
        <is>
          <t>PostEncounterView</t>
        </is>
      </c>
      <c r="C18" s="13" t="inlineStr">
        <is>
          <t>🟢 Done</t>
        </is>
      </c>
      <c r="D18" s="13" t="inlineStr">
        <is>
          <t>M</t>
        </is>
      </c>
      <c r="E18" s="13" t="n">
        <v>3</v>
      </c>
      <c r="F18" s="13" t="n">
        <v>0.5</v>
      </c>
      <c r="G18" s="12" t="inlineStr">
        <is>
          <t>Built.</t>
        </is>
      </c>
      <c r="H18" s="12" t="inlineStr">
        <is>
          <t>B010 Notes</t>
        </is>
      </c>
    </row>
    <row r="19">
      <c r="A19" s="12" t="inlineStr">
        <is>
          <t>S015</t>
        </is>
      </c>
      <c r="B19" s="12" t="inlineStr">
        <is>
          <t>ProcessingView (in ContentView)</t>
        </is>
      </c>
      <c r="C19" s="13" t="inlineStr">
        <is>
          <t>🟢 Done</t>
        </is>
      </c>
      <c r="D19" s="13" t="inlineStr">
        <is>
          <t>L</t>
        </is>
      </c>
      <c r="E19" s="13" t="n">
        <v>8</v>
      </c>
      <c r="F19" s="13" t="n">
        <v>1.5</v>
      </c>
      <c r="G19" s="12" t="inlineStr">
        <is>
          <t>Stage 1 SLA + retry surface.</t>
        </is>
      </c>
      <c r="H19" s="12" t="inlineStr">
        <is>
          <t>B007, B010</t>
        </is>
      </c>
    </row>
    <row r="20">
      <c r="A20" s="12" t="inlineStr">
        <is>
          <t>S016</t>
        </is>
      </c>
      <c r="B20" s="12" t="inlineStr">
        <is>
          <t>NoteReviewView</t>
        </is>
      </c>
      <c r="C20" s="13" t="inlineStr">
        <is>
          <t>🟢 Done</t>
        </is>
      </c>
      <c r="D20" s="13" t="inlineStr">
        <is>
          <t>XL</t>
        </is>
      </c>
      <c r="E20" s="13" t="n">
        <v>15</v>
      </c>
      <c r="F20" s="13" t="n">
        <v>3</v>
      </c>
      <c r="G20" s="12" t="inlineStr">
        <is>
          <t>M-09 source anchoring, M-10 conflicts, conflicts banner pulse (UI-P5), Stage 2 gate fix.</t>
        </is>
      </c>
      <c r="H20" s="12" t="inlineStr">
        <is>
          <t>B010, B011</t>
        </is>
      </c>
    </row>
    <row r="21">
      <c r="A21" s="12" t="inlineStr">
        <is>
          <t>S017</t>
        </is>
      </c>
      <c r="B21" s="12" t="inlineStr">
        <is>
          <t>ExportView</t>
        </is>
      </c>
      <c r="C21" s="13" t="inlineStr">
        <is>
          <t>🟢 Done</t>
        </is>
      </c>
      <c r="D21" s="13" t="inlineStr">
        <is>
          <t>L</t>
        </is>
      </c>
      <c r="E21" s="13" t="n">
        <v>8</v>
      </c>
      <c r="F21" s="13" t="n">
        <v>1.5</v>
      </c>
      <c r="G21" s="12" t="inlineStr">
        <is>
          <t>On-device DOCX + Plain Text. PDF deferred.</t>
        </is>
      </c>
      <c r="H21" s="12" t="inlineStr">
        <is>
          <t>B012, M015</t>
        </is>
      </c>
    </row>
    <row r="22">
      <c r="A22" s="12" t="inlineStr">
        <is>
          <t>S018</t>
        </is>
      </c>
      <c r="B22" s="12" t="inlineStr">
        <is>
          <t>NoteReadyView</t>
        </is>
      </c>
      <c r="C22" s="13" t="inlineStr">
        <is>
          <t>🟢 Done</t>
        </is>
      </c>
      <c r="D22" s="13" t="inlineStr">
        <is>
          <t>S</t>
        </is>
      </c>
      <c r="E22" s="13" t="n">
        <v>1</v>
      </c>
      <c r="F22" s="13" t="n">
        <v>0.25</v>
      </c>
      <c r="G22" s="12" t="inlineStr">
        <is>
          <t>Built.</t>
        </is>
      </c>
      <c r="H22" s="12" t="inlineStr">
        <is>
          <t>S014, S015</t>
        </is>
      </c>
    </row>
    <row r="23">
      <c r="A23" s="12" t="inlineStr">
        <is>
          <t>S019</t>
        </is>
      </c>
      <c r="B23" s="12" t="inlineStr">
        <is>
          <t>SessionsInboxView</t>
        </is>
      </c>
      <c r="C23" s="13" t="inlineStr">
        <is>
          <t>🟢 Done</t>
        </is>
      </c>
      <c r="D23" s="13" t="inlineStr">
        <is>
          <t>M</t>
        </is>
      </c>
      <c r="E23" s="13" t="n">
        <v>3</v>
      </c>
      <c r="F23" s="13" t="n">
        <v>0.5</v>
      </c>
      <c r="G23" s="12" t="inlineStr">
        <is>
          <t>Search + filter + iPad clamp + value-based deep-link push.</t>
        </is>
      </c>
      <c r="H23" s="12" t="inlineStr">
        <is>
          <t>B006</t>
        </is>
      </c>
    </row>
    <row r="24">
      <c r="A24" s="12" t="inlineStr">
        <is>
          <t>S020</t>
        </is>
      </c>
      <c r="B24" s="12" t="inlineStr">
        <is>
          <t>SessionNoteView</t>
        </is>
      </c>
      <c r="C24" s="13" t="inlineStr">
        <is>
          <t>🟢 Done</t>
        </is>
      </c>
      <c r="D24" s="13" t="inlineStr">
        <is>
          <t>M</t>
        </is>
      </c>
      <c r="E24" s="13" t="n">
        <v>3</v>
      </c>
      <c r="F24" s="13" t="n">
        <v>0.5</v>
      </c>
      <c r="G24" s="12" t="inlineStr">
        <is>
          <t>Spotlight NSUserActivity donation (UI-P4a).</t>
        </is>
      </c>
      <c r="H24" s="12" t="inlineStr">
        <is>
          <t>B010</t>
        </is>
      </c>
    </row>
    <row r="25">
      <c r="A25" s="12" t="inlineStr">
        <is>
          <t>S021</t>
        </is>
      </c>
      <c r="B25" s="12" t="inlineStr">
        <is>
          <t>ProfileView</t>
        </is>
      </c>
      <c r="C25" s="13" t="inlineStr">
        <is>
          <t>🟢 Done</t>
        </is>
      </c>
      <c r="D25" s="13" t="inlineStr">
        <is>
          <t>M</t>
        </is>
      </c>
      <c r="E25" s="13" t="n">
        <v>3</v>
      </c>
      <c r="F25" s="13" t="n">
        <v>0.5</v>
      </c>
      <c r="G25" s="12" t="inlineStr">
        <is>
          <t>Voice profile mgmt + iPad-adaptive.</t>
        </is>
      </c>
      <c r="H25" s="12" t="inlineStr">
        <is>
          <t>B002</t>
        </is>
      </c>
    </row>
    <row r="26">
      <c r="A26" s="12" t="inlineStr">
        <is>
          <t>S022</t>
        </is>
      </c>
      <c r="B26" s="12" t="inlineStr">
        <is>
          <t>FrameGalleryView (debug)</t>
        </is>
      </c>
      <c r="C26" s="13" t="inlineStr">
        <is>
          <t>🟢 Done</t>
        </is>
      </c>
      <c r="D26" s="13" t="inlineStr">
        <is>
          <t>S</t>
        </is>
      </c>
      <c r="E26" s="13" t="n">
        <v>1</v>
      </c>
      <c r="F26" s="13" t="n">
        <v>0.25</v>
      </c>
      <c r="G26" s="12" t="inlineStr">
        <is>
          <t>Hidden in release per #if DEBUG.</t>
        </is>
      </c>
      <c r="H26" s="12" t="inlineStr">
        <is>
          <t>—</t>
        </is>
      </c>
    </row>
    <row r="27">
      <c r="A27" s="12" t="inlineStr">
        <is>
          <t>S023</t>
        </is>
      </c>
      <c r="B27" s="12" t="inlineStr">
        <is>
          <t>ContentView (root shell)</t>
        </is>
      </c>
      <c r="C27" s="13" t="inlineStr">
        <is>
          <t>🟢 Done</t>
        </is>
      </c>
      <c r="D27" s="13" t="inlineStr">
        <is>
          <t>M</t>
        </is>
      </c>
      <c r="E27" s="13" t="n">
        <v>3</v>
      </c>
      <c r="F27" s="13" t="n">
        <v>0.5</v>
      </c>
      <c r="G27" s="12" t="inlineStr">
        <is>
          <t>Root routing + scene-phase purge hook + onContinueUserActivity / onOpenURL.</t>
        </is>
      </c>
      <c r="H27" s="12" t="inlineStr">
        <is>
          <t>S001, S002, S008</t>
        </is>
      </c>
    </row>
    <row r="28">
      <c r="A28" s="12" t="inlineStr">
        <is>
          <t>UI-P1</t>
        </is>
      </c>
      <c r="B28" s="12" t="inlineStr">
        <is>
          <t>Color token sweep + semantic typography</t>
        </is>
      </c>
      <c r="C28" s="13" t="inlineStr">
        <is>
          <t>🟢 Done</t>
        </is>
      </c>
      <c r="D28" s="13" t="inlineStr">
        <is>
          <t>M</t>
        </is>
      </c>
      <c r="E28" s="13" t="n">
        <v>3</v>
      </c>
      <c r="F28" s="13" t="n">
        <v>0.25</v>
      </c>
      <c r="G28" s="12" t="inlineStr">
        <is>
          <t>Merged 2026-05-19 (commit 3a0152a).</t>
        </is>
      </c>
      <c r="H28" s="12" t="inlineStr">
        <is>
          <t>—</t>
        </is>
      </c>
    </row>
    <row r="29">
      <c r="A29" s="12" t="inlineStr">
        <is>
          <t>UI-P2</t>
        </is>
      </c>
      <c r="B29" s="12" t="inlineStr">
        <is>
          <t>Native TabView + iPad sidebarAdaptable</t>
        </is>
      </c>
      <c r="C29" s="13" t="inlineStr">
        <is>
          <t>🟢 Done</t>
        </is>
      </c>
      <c r="D29" s="13" t="inlineStr">
        <is>
          <t>M</t>
        </is>
      </c>
      <c r="E29" s="13" t="n">
        <v>3</v>
      </c>
      <c r="F29" s="13" t="n">
        <v>0.25</v>
      </c>
      <c r="G29" s="12" t="inlineStr">
        <is>
          <t>Merged 2026-05-19 (commit 312d3fe).</t>
        </is>
      </c>
      <c r="H29" s="12" t="inlineStr">
        <is>
          <t>—</t>
        </is>
      </c>
    </row>
    <row r="30">
      <c r="A30" s="12" t="inlineStr">
        <is>
          <t>UI-P3</t>
        </is>
      </c>
      <c r="B30" s="12" t="inlineStr">
        <is>
          <t>Inbox search + iPad clamp + amber conflicts banner</t>
        </is>
      </c>
      <c r="C30" s="13" t="inlineStr">
        <is>
          <t>🟢 Done</t>
        </is>
      </c>
      <c r="D30" s="13" t="inlineStr">
        <is>
          <t>L</t>
        </is>
      </c>
      <c r="E30" s="13" t="n">
        <v>8</v>
      </c>
      <c r="F30" s="13" t="n">
        <v>0.5</v>
      </c>
      <c r="G30" s="12" t="inlineStr">
        <is>
          <t>Merged 2026-05-19 (commit 40b3dcf).</t>
        </is>
      </c>
      <c r="H30" s="12" t="inlineStr">
        <is>
          <t>S019, S016</t>
        </is>
      </c>
    </row>
    <row r="31">
      <c r="A31" s="12" t="inlineStr">
        <is>
          <t>UI-P4a</t>
        </is>
      </c>
      <c r="B31" s="12" t="inlineStr">
        <is>
          <t>App Intents + Spotlight integration</t>
        </is>
      </c>
      <c r="C31" s="13" t="inlineStr">
        <is>
          <t>🟢 Done</t>
        </is>
      </c>
      <c r="D31" s="13" t="inlineStr">
        <is>
          <t>M</t>
        </is>
      </c>
      <c r="E31" s="13" t="n">
        <v>3</v>
      </c>
      <c r="F31" s="13" t="n">
        <v>0.5</v>
      </c>
      <c r="G31" s="12" t="inlineStr">
        <is>
          <t>StartSessionIntent + ShowPendingNotesIntent + AppNavigation bus (commit df32abb).</t>
        </is>
      </c>
      <c r="H31" s="12" t="inlineStr">
        <is>
          <t>—</t>
        </is>
      </c>
    </row>
    <row r="32">
      <c r="A32" s="12" t="inlineStr">
        <is>
          <t>UI-P4b</t>
        </is>
      </c>
      <c r="B32" s="12" t="inlineStr">
        <is>
          <t>Live Activity (Lock Screen + Dynamic Island) + Widget</t>
        </is>
      </c>
      <c r="C32" s="13" t="inlineStr">
        <is>
          <t>🟢 Done</t>
        </is>
      </c>
      <c r="D32" s="13" t="inlineStr">
        <is>
          <t>L</t>
        </is>
      </c>
      <c r="E32" s="13" t="n">
        <v>8</v>
      </c>
      <c r="F32" s="13" t="n">
        <v>1</v>
      </c>
      <c r="G32" s="12" t="inlineStr">
        <is>
          <t>AurionWidgets extension added via xcodeproj Ruby gem. StartSessionWidget + Live Activity widget (commit ba4900c + 9f3cca0).</t>
        </is>
      </c>
      <c r="H32" s="12" t="inlineStr">
        <is>
          <t>Apple Dev Program (now active)</t>
        </is>
      </c>
    </row>
    <row r="33">
      <c r="A33" s="12" t="inlineStr">
        <is>
          <t>UI-P5</t>
        </is>
      </c>
      <c r="B33" s="12" t="inlineStr">
        <is>
          <t>Accessibility labels + symbol effects + motion polish</t>
        </is>
      </c>
      <c r="C33" s="13" t="inlineStr">
        <is>
          <t>🟢 Done</t>
        </is>
      </c>
      <c r="D33" s="13" t="inlineStr">
        <is>
          <t>M</t>
        </is>
      </c>
      <c r="E33" s="13" t="n">
        <v>3</v>
      </c>
      <c r="F33" s="13" t="n">
        <v>0.25</v>
      </c>
      <c r="G33" s="12" t="inlineStr">
        <is>
          <t>Capture controls, sort, toolbar, conflicts pulse (commit 4d00062).</t>
        </is>
      </c>
      <c r="H33" s="12" t="inlineStr">
        <is>
          <t>—</t>
        </is>
      </c>
    </row>
    <row r="34">
      <c r="A34" s="12" t="inlineStr">
        <is>
          <t>UI-P6</t>
        </is>
      </c>
      <c r="B34" s="12" t="inlineStr">
        <is>
          <t>Materials (regularMaterial) + iPad readable-measure pass</t>
        </is>
      </c>
      <c r="C34" s="13" t="inlineStr">
        <is>
          <t>🟢 Done</t>
        </is>
      </c>
      <c r="D34" s="13" t="inlineStr">
        <is>
          <t>S</t>
        </is>
      </c>
      <c r="E34" s="13" t="n">
        <v>1</v>
      </c>
      <c r="F34" s="13" t="n">
        <v>0.25</v>
      </c>
      <c r="G34" s="12" t="inlineStr">
        <is>
          <t>Merged 2026-05-19 (commit 9cefee6).</t>
        </is>
      </c>
      <c r="H34" s="12" t="inlineStr">
        <is>
          <t>—</t>
        </is>
      </c>
    </row>
    <row r="35">
      <c r="A35" s="12" t="inlineStr">
        <is>
          <t>AUR-DESIGN-NAVY</t>
        </is>
      </c>
      <c r="B35" s="12" t="inlineStr">
        <is>
          <t>Collapse aurionNavyLegacy → aurionNavy</t>
        </is>
      </c>
      <c r="C35" s="13" t="inlineStr">
        <is>
          <t>🟢 Done</t>
        </is>
      </c>
      <c r="D35" s="13" t="inlineStr">
        <is>
          <t>S</t>
        </is>
      </c>
      <c r="E35" s="13" t="n">
        <v>0.5</v>
      </c>
      <c r="F35" s="13" t="n">
        <v>0.25</v>
      </c>
      <c r="G35" s="12" t="inlineStr">
        <is>
          <t>Brand navy (#0C1B37) is canonical (commit d6a88d3).</t>
        </is>
      </c>
      <c r="H35" s="12" t="inlineStr">
        <is>
          <t>—</t>
        </is>
      </c>
    </row>
    <row r="36">
      <c r="A36" s="12" t="inlineStr">
        <is>
          <t>AUR-DESIGN-DARK</t>
        </is>
      </c>
      <c r="B36" s="12" t="inlineStr">
        <is>
          <t>Full dark mode (muted slate palette)</t>
        </is>
      </c>
      <c r="C36" s="13" t="inlineStr">
        <is>
          <t>🟢 Done</t>
        </is>
      </c>
      <c r="D36" s="13" t="inlineStr">
        <is>
          <t>XL</t>
        </is>
      </c>
      <c r="E36" s="13" t="n">
        <v>15</v>
      </c>
      <c r="F36" s="13" t="n">
        <v>1</v>
      </c>
      <c r="G36" s="12" t="inlineStr">
        <is>
          <t>Adaptive tokens, 56 navy-text → adaptive swap, drop preferredColorScheme(.light) (commit 0cf99c8).</t>
        </is>
      </c>
      <c r="H36" s="12" t="inlineStr">
        <is>
          <t>AUR-DESIGN-NAVY</t>
        </is>
      </c>
    </row>
    <row r="37">
      <c r="A37" s="12" t="inlineStr">
        <is>
          <t>Q-04</t>
        </is>
      </c>
      <c r="B37" s="12" t="inlineStr">
        <is>
          <t>SessionUIState shim cleanup</t>
        </is>
      </c>
      <c r="C37" s="13" t="inlineStr">
        <is>
          <t>🟢 Done</t>
        </is>
      </c>
      <c r="D37" s="13" t="inlineStr">
        <is>
          <t>S</t>
        </is>
      </c>
      <c r="E37" s="13" t="n">
        <v>1</v>
      </c>
      <c r="F37" s="13" t="n">
        <v>0.25</v>
      </c>
      <c r="G37" s="12" t="inlineStr">
        <is>
          <t>Drop Bool shims (commit 69b317e).</t>
        </is>
      </c>
      <c r="H37" s="12" t="inlineStr">
        <is>
          <t>—</t>
        </is>
      </c>
    </row>
    <row r="38">
      <c r="A38" s="12" t="inlineStr">
        <is>
          <t>BUNDLE-ID</t>
        </is>
      </c>
      <c r="B38" s="12" t="inlineStr">
        <is>
          <t>Rebrand bundle ID → com.aurionclinical.aurion</t>
        </is>
      </c>
      <c r="C38" s="13" t="inlineStr">
        <is>
          <t>🟢 Done</t>
        </is>
      </c>
      <c r="D38" s="13" t="inlineStr">
        <is>
          <t>S</t>
        </is>
      </c>
      <c r="E38" s="13" t="n">
        <v>0.5</v>
      </c>
      <c r="F38" s="13" t="n">
        <v>0.1</v>
      </c>
      <c r="G38" s="12" t="inlineStr">
        <is>
          <t>Pre-TestFlight (commit 39c9404).</t>
        </is>
      </c>
      <c r="H38" s="12" t="inlineStr">
        <is>
          <t>—</t>
        </is>
      </c>
    </row>
    <row r="39">
      <c r="A39" s="12" t="inlineStr">
        <is>
          <t>FASTLANE</t>
        </is>
      </c>
      <c r="B39" s="12" t="inlineStr">
        <is>
          <t>fastlane CLI bootstrap + TestFlight lanes</t>
        </is>
      </c>
      <c r="C39" s="13" t="inlineStr">
        <is>
          <t>🟢 Done</t>
        </is>
      </c>
      <c r="D39" s="13" t="inlineStr">
        <is>
          <t>M</t>
        </is>
      </c>
      <c r="E39" s="13" t="n">
        <v>3</v>
      </c>
      <c r="F39" s="13" t="n">
        <v>0.25</v>
      </c>
      <c r="G39" s="12" t="inlineStr">
        <is>
          <t>Appfile + Fastfile (commit e4a9d7b). User runs `fastlane bootstrap` once.</t>
        </is>
      </c>
      <c r="H39" s="12" t="inlineStr">
        <is>
          <t>Apple Dev active</t>
        </is>
      </c>
    </row>
    <row r="40">
      <c r="A40" s="14" t="inlineStr">
        <is>
          <t>M018</t>
        </is>
      </c>
      <c r="B40" s="14" t="inlineStr">
        <is>
          <t>MediaPipe face detection (backup)</t>
        </is>
      </c>
      <c r="C40" s="15" t="inlineStr">
        <is>
          <t>🟣 Future</t>
        </is>
      </c>
      <c r="D40" s="15" t="inlineStr">
        <is>
          <t>L</t>
        </is>
      </c>
      <c r="E40" s="15" t="n">
        <v>5</v>
      </c>
      <c r="F40" s="15" t="n">
        <v>0.5</v>
      </c>
      <c r="G40" s="14" t="inlineStr">
        <is>
          <t>Pilot follow-up — revisit only if clinical safety committee asks.</t>
        </is>
      </c>
      <c r="H40" s="14" t="inlineStr">
        <is>
          <t>M015 Apple Vision</t>
        </is>
      </c>
    </row>
    <row r="41">
      <c r="A41" s="14" t="inlineStr">
        <is>
          <t>M019</t>
        </is>
      </c>
      <c r="B41" s="14" t="inlineStr">
        <is>
          <t>Ray-Ban Meta SDK</t>
        </is>
      </c>
      <c r="C41" s="15" t="inlineStr">
        <is>
          <t>🟣 Future</t>
        </is>
      </c>
      <c r="D41" s="15" t="inlineStr">
        <is>
          <t>XL</t>
        </is>
      </c>
      <c r="E41" s="15" t="n">
        <v>15</v>
      </c>
      <c r="F41" s="15" t="n">
        <v>5</v>
      </c>
      <c r="G41" s="14" t="inlineStr">
        <is>
          <t>Deferred post-pilot — pilot ships iPhone/iPad fallback.</t>
        </is>
      </c>
      <c r="H41" s="14" t="inlineStr">
        <is>
          <t>Partner SDK access</t>
        </is>
      </c>
    </row>
    <row r="43">
      <c r="B43" s="3" t="inlineStr">
        <is>
          <t>TOTALS</t>
        </is>
      </c>
      <c r="E43" s="3">
        <f>SUM(E5:E41)</f>
        <v/>
      </c>
      <c r="F43" s="3">
        <f>SUM(F5:F41)</f>
        <v/>
      </c>
    </row>
    <row r="44">
      <c r="B44" s="16" t="inlineStr">
        <is>
          <t>REMAINING (not 🟢 Done, excl. 🟣 Future)</t>
        </is>
      </c>
      <c r="E44" s="3">
        <f>SUMPRODUCT((NOT(ISNUMBER(SEARCH("Done", C5:C41)))) * (NOT(ISNUMBER(SEARCH("Future", C5:C41)))) * E5:E41)</f>
        <v/>
      </c>
      <c r="F44" s="3">
        <f>SUMPRODUCT((NOT(ISNUMBER(SEARCH("Done", C5:C41)))) * (NOT(ISNUMBER(SEARCH("Future", C5:C41)))) * F5:F41)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9" customWidth="1" min="4" max="4"/>
    <col width="16" customWidth="1" min="5" max="5"/>
    <col width="17" customWidth="1" min="6" max="6"/>
    <col width="60" customWidth="1" min="7" max="7"/>
    <col width="30" customWidth="1" min="8" max="8"/>
  </cols>
  <sheetData>
    <row r="1">
      <c r="A1" s="10" t="inlineStr">
        <is>
          <t>WEB PORTAL — Admin + Physician</t>
        </is>
      </c>
    </row>
    <row r="2">
      <c r="A2" s="11" t="inlineStr">
        <is>
          <t>Lane: Web (Next.js) · status as-of 2026-05-22</t>
        </is>
      </c>
    </row>
    <row r="4">
      <c r="A4" s="6" t="inlineStr">
        <is>
          <t>ID</t>
        </is>
      </c>
      <c r="B4" s="6" t="inlineStr">
        <is>
          <t>Name / Description</t>
        </is>
      </c>
      <c r="C4" s="6" t="inlineStr">
        <is>
          <t>Status</t>
        </is>
      </c>
      <c r="D4" s="6" t="inlineStr">
        <is>
          <t>S/M/L/XL</t>
        </is>
      </c>
      <c r="E4" s="6" t="inlineStr">
        <is>
          <t>Human-Days (P50)</t>
        </is>
      </c>
      <c r="F4" s="6" t="inlineStr">
        <is>
          <t>Claude-Code-Days</t>
        </is>
      </c>
      <c r="G4" s="6" t="inlineStr">
        <is>
          <t>Notes / Commit</t>
        </is>
      </c>
      <c r="H4" s="6" t="inlineStr">
        <is>
          <t>Pre-requisites</t>
        </is>
      </c>
    </row>
    <row r="5">
      <c r="A5" s="12" t="inlineStr">
        <is>
          <t>W001</t>
        </is>
      </c>
      <c r="B5" s="12" t="inlineStr">
        <is>
          <t>Login / Auth (admin portal)</t>
        </is>
      </c>
      <c r="C5" s="13" t="inlineStr">
        <is>
          <t>🟢 Done</t>
        </is>
      </c>
      <c r="D5" s="13" t="inlineStr">
        <is>
          <t>S</t>
        </is>
      </c>
      <c r="E5" s="13" t="n">
        <v>1</v>
      </c>
      <c r="F5" s="13" t="n">
        <v>0.25</v>
      </c>
      <c r="G5" s="12" t="inlineStr">
        <is>
          <t>Real JWT cookie + role redirect.</t>
        </is>
      </c>
      <c r="H5" s="12" t="inlineStr">
        <is>
          <t>B001</t>
        </is>
      </c>
    </row>
    <row r="6">
      <c r="A6" s="12" t="inlineStr">
        <is>
          <t>W002</t>
        </is>
      </c>
      <c r="B6" s="12" t="inlineStr">
        <is>
          <t>Dashboard — Pilot Metrics Overview</t>
        </is>
      </c>
      <c r="C6" s="13" t="inlineStr">
        <is>
          <t>🟢 Done</t>
        </is>
      </c>
      <c r="D6" s="13" t="inlineStr">
        <is>
          <t>M</t>
        </is>
      </c>
      <c r="E6" s="13" t="n">
        <v>3</v>
      </c>
      <c r="F6" s="13" t="n">
        <v>0.5</v>
      </c>
      <c r="G6" s="12" t="inlineStr">
        <is>
          <t>Real API + aggregated metrics.</t>
        </is>
      </c>
      <c r="H6" s="12" t="inlineStr">
        <is>
          <t>/admin/metrics, /admin/sessions</t>
        </is>
      </c>
    </row>
    <row r="7">
      <c r="A7" s="12" t="inlineStr">
        <is>
          <t>W003</t>
        </is>
      </c>
      <c r="B7" s="12" t="inlineStr">
        <is>
          <t>Audit Log Viewer</t>
        </is>
      </c>
      <c r="C7" s="13" t="inlineStr">
        <is>
          <t>🟢 Done</t>
        </is>
      </c>
      <c r="D7" s="13" t="inlineStr">
        <is>
          <t>M</t>
        </is>
      </c>
      <c r="E7" s="13" t="n">
        <v>3</v>
      </c>
      <c r="F7" s="13" t="n">
        <v>0.5</v>
      </c>
      <c r="G7" s="12" t="inlineStr">
        <is>
          <t>DynamoDB stream + CSV export.</t>
        </is>
      </c>
      <c r="H7" s="12" t="inlineStr">
        <is>
          <t>Audit log populated</t>
        </is>
      </c>
    </row>
    <row r="8">
      <c r="A8" s="12" t="inlineStr">
        <is>
          <t>W004</t>
        </is>
      </c>
      <c r="B8" s="12" t="inlineStr">
        <is>
          <t>PHI Masking Report</t>
        </is>
      </c>
      <c r="C8" s="13" t="inlineStr">
        <is>
          <t>🟢 Done</t>
        </is>
      </c>
      <c r="D8" s="13" t="inlineStr">
        <is>
          <t>M</t>
        </is>
      </c>
      <c r="E8" s="13" t="n">
        <v>3</v>
      </c>
      <c r="F8" s="13" t="n">
        <v>0.5</v>
      </c>
      <c r="G8" s="12" t="inlineStr">
        <is>
          <t>Real API + per-session breakdown.</t>
        </is>
      </c>
      <c r="H8" s="12" t="inlineStr">
        <is>
          <t>Comprehend Medical pipeline</t>
        </is>
      </c>
    </row>
    <row r="9">
      <c r="A9" s="12" t="inlineStr">
        <is>
          <t>W005</t>
        </is>
      </c>
      <c r="B9" s="12" t="inlineStr">
        <is>
          <t>Provider Config Viewer</t>
        </is>
      </c>
      <c r="C9" s="13" t="inlineStr">
        <is>
          <t>🟢 Done</t>
        </is>
      </c>
      <c r="D9" s="13" t="inlineStr">
        <is>
          <t>S</t>
        </is>
      </c>
      <c r="E9" s="13" t="n">
        <v>1</v>
      </c>
      <c r="F9" s="13" t="n">
        <v>0.25</v>
      </c>
      <c r="G9" s="12" t="inlineStr">
        <is>
          <t>Read-only AppConfig fetch.</t>
        </is>
      </c>
      <c r="H9" s="12" t="inlineStr">
        <is>
          <t>AppConfig live</t>
        </is>
      </c>
    </row>
    <row r="10">
      <c r="A10" s="12" t="inlineStr">
        <is>
          <t>W006</t>
        </is>
      </c>
      <c r="B10" s="12" t="inlineStr">
        <is>
          <t>Session List / Completeness</t>
        </is>
      </c>
      <c r="C10" s="13" t="inlineStr">
        <is>
          <t>🟢 Done</t>
        </is>
      </c>
      <c r="D10" s="13" t="inlineStr">
        <is>
          <t>M</t>
        </is>
      </c>
      <c r="E10" s="13" t="n">
        <v>3</v>
      </c>
      <c r="F10" s="13" t="n">
        <v>0.5</v>
      </c>
      <c r="G10" s="12" t="inlineStr">
        <is>
          <t>11-state badge map + specialty filter.</t>
        </is>
      </c>
      <c r="H10" s="12" t="inlineStr">
        <is>
          <t>/admin/sessions</t>
        </is>
      </c>
    </row>
    <row r="11">
      <c r="A11" s="17" t="inlineStr">
        <is>
          <t>W007</t>
        </is>
      </c>
      <c r="B11" s="17" t="inlineStr">
        <is>
          <t>User Management UI</t>
        </is>
      </c>
      <c r="C11" s="18" t="inlineStr">
        <is>
          <t>🟡 Verify</t>
        </is>
      </c>
      <c r="D11" s="18" t="inlineStr">
        <is>
          <t>L</t>
        </is>
      </c>
      <c r="E11" s="18" t="n">
        <v>8</v>
      </c>
      <c r="F11" s="18" t="n">
        <v>1</v>
      </c>
      <c r="G11" s="17" t="inlineStr">
        <is>
          <t>UI is final. Verify Cognito wiring after P0-06 (commit e7a5a90). Smoke test create/deactivate.</t>
        </is>
      </c>
      <c r="H11" s="17" t="inlineStr">
        <is>
          <t>WB14 Cognito AdminUser</t>
        </is>
      </c>
    </row>
    <row r="12">
      <c r="A12" s="17" t="inlineStr">
        <is>
          <t>W008</t>
        </is>
      </c>
      <c r="B12" s="17" t="inlineStr">
        <is>
          <t>Eval Session List + Score Entry</t>
        </is>
      </c>
      <c r="C12" s="18" t="inlineStr">
        <is>
          <t>🟡 Verify</t>
        </is>
      </c>
      <c r="D12" s="18" t="inlineStr">
        <is>
          <t>L</t>
        </is>
      </c>
      <c r="E12" s="18" t="n">
        <v>8</v>
      </c>
      <c r="F12" s="18" t="n">
        <v>1</v>
      </c>
      <c r="G12" s="17" t="inlineStr">
        <is>
          <t>UI final. Verify EvalRecordModel persistence after B-08 refactor.</t>
        </is>
      </c>
      <c r="H12" s="17" t="inlineStr">
        <is>
          <t>WB13 EvalRecordModel</t>
        </is>
      </c>
    </row>
    <row r="13">
      <c r="A13" s="19" t="inlineStr">
        <is>
          <t>W009</t>
        </is>
      </c>
      <c r="B13" s="19" t="inlineStr">
        <is>
          <t>Session Detail page</t>
        </is>
      </c>
      <c r="C13" s="20" t="inlineStr">
        <is>
          <t>🟠 Not Started</t>
        </is>
      </c>
      <c r="D13" s="20" t="inlineStr">
        <is>
          <t>M</t>
        </is>
      </c>
      <c r="E13" s="20" t="n">
        <v>3</v>
      </c>
      <c r="F13" s="20" t="n">
        <v>0.5</v>
      </c>
      <c r="G13" s="19" t="inlineStr">
        <is>
          <t>lib/api.ts has the getter; backend endpoint exists; page itself not built.</t>
        </is>
      </c>
      <c r="H13" s="19" t="inlineStr">
        <is>
          <t>WB12 (Done)</t>
        </is>
      </c>
    </row>
    <row r="14">
      <c r="A14" s="21" t="inlineStr">
        <is>
          <t>W010</t>
        </is>
      </c>
      <c r="B14" s="21" t="inlineStr">
        <is>
          <t>Amplify Deployment + CORS Fix</t>
        </is>
      </c>
      <c r="C14" s="22" t="inlineStr">
        <is>
          <t>🔴 Blocker</t>
        </is>
      </c>
      <c r="D14" s="22" t="inlineStr">
        <is>
          <t>M</t>
        </is>
      </c>
      <c r="E14" s="22" t="n">
        <v>5</v>
      </c>
      <c r="F14" s="22" t="n">
        <v>1</v>
      </c>
      <c r="G14" s="21" t="inlineStr">
        <is>
          <t>Portal runs localhost:3000 only. No aws_amplify_app in TF. CORS still localhost-only.</t>
        </is>
      </c>
      <c r="H14" s="21" t="inlineStr">
        <is>
          <t>—</t>
        </is>
      </c>
    </row>
    <row r="15">
      <c r="A15" s="19" t="inlineStr">
        <is>
          <t>W011</t>
        </is>
      </c>
      <c r="B15" s="19" t="inlineStr">
        <is>
          <t>Role-Based Navigation (Physician vs Admin)</t>
        </is>
      </c>
      <c r="C15" s="20" t="inlineStr">
        <is>
          <t>🟠 Not Started</t>
        </is>
      </c>
      <c r="D15" s="20" t="inlineStr">
        <is>
          <t>M</t>
        </is>
      </c>
      <c r="E15" s="20" t="n">
        <v>4</v>
      </c>
      <c r="F15" s="20" t="n">
        <v>0.5</v>
      </c>
      <c r="G15" s="19" t="inlineStr">
        <is>
          <t>Sidebar.tsx hardcoded to admin routes. Two-role guard pattern.</t>
        </is>
      </c>
      <c r="H15" s="19" t="inlineStr">
        <is>
          <t>Cognito role claim; W020 landing target</t>
        </is>
      </c>
    </row>
    <row r="16">
      <c r="A16" s="19" t="inlineStr">
        <is>
          <t>W012</t>
        </is>
      </c>
      <c r="B16" s="19" t="inlineStr">
        <is>
          <t>TypeScript types (Patient/Appt/Visit/Schedule)</t>
        </is>
      </c>
      <c r="C16" s="20" t="inlineStr">
        <is>
          <t>🟠 Not Started</t>
        </is>
      </c>
      <c r="D16" s="20" t="inlineStr">
        <is>
          <t>S</t>
        </is>
      </c>
      <c r="E16" s="20" t="n">
        <v>2</v>
      </c>
      <c r="F16" s="20" t="n">
        <v>0.5</v>
      </c>
      <c r="G16" s="19" t="inlineStr">
        <is>
          <t>types/index.ts has 18 admin interfaces, zero physician.</t>
        </is>
      </c>
      <c r="H16" s="19" t="inlineStr">
        <is>
          <t>WB20–WB22 contracts frozen</t>
        </is>
      </c>
    </row>
    <row r="17">
      <c r="A17" s="19" t="inlineStr">
        <is>
          <t>W013</t>
        </is>
      </c>
      <c r="B17" s="19" t="inlineStr">
        <is>
          <t>lib/api.ts physician API client</t>
        </is>
      </c>
      <c r="C17" s="20" t="inlineStr">
        <is>
          <t>🟠 Not Started</t>
        </is>
      </c>
      <c r="D17" s="20" t="inlineStr">
        <is>
          <t>S</t>
        </is>
      </c>
      <c r="E17" s="20" t="n">
        <v>2</v>
      </c>
      <c r="F17" s="20" t="n">
        <v>0.5</v>
      </c>
      <c r="G17" s="19" t="inlineStr">
        <is>
          <t>20 admin functions exist; zero physician.</t>
        </is>
      </c>
      <c r="H17" s="19" t="inlineStr">
        <is>
          <t>WB20–WB25 endpoint contracts</t>
        </is>
      </c>
    </row>
    <row r="18">
      <c r="A18" s="19" t="inlineStr">
        <is>
          <t>W014</t>
        </is>
      </c>
      <c r="B18" s="19" t="inlineStr">
        <is>
          <t>WebSocket client (real-time Stage 1/2)</t>
        </is>
      </c>
      <c r="C18" s="20" t="inlineStr">
        <is>
          <t>🟠 Not Started</t>
        </is>
      </c>
      <c r="D18" s="20" t="inlineStr">
        <is>
          <t>M</t>
        </is>
      </c>
      <c r="E18" s="20" t="n">
        <v>5</v>
      </c>
      <c r="F18" s="20" t="n">
        <v>1</v>
      </c>
      <c r="G18" s="19" t="inlineStr">
        <is>
          <t>Backend /ws/{session_id} exists; no WS library in web package.json.</t>
        </is>
      </c>
      <c r="H18" s="19" t="inlineStr">
        <is>
          <t>W013, W028</t>
        </is>
      </c>
    </row>
    <row r="19">
      <c r="A19" s="19" t="inlineStr">
        <is>
          <t>W020</t>
        </is>
      </c>
      <c r="B19" s="19" t="inlineStr">
        <is>
          <t>Schedule — Today's View (Day + Week)</t>
        </is>
      </c>
      <c r="C19" s="20" t="inlineStr">
        <is>
          <t>🟠 Not Started</t>
        </is>
      </c>
      <c r="D19" s="20" t="inlineStr">
        <is>
          <t>L</t>
        </is>
      </c>
      <c r="E19" s="20" t="n">
        <v>10</v>
      </c>
      <c r="F19" s="20" t="n">
        <v>2</v>
      </c>
      <c r="G19" s="19" t="inlineStr">
        <is>
          <t>Landing page for physicians. Appointment cards + status badges.</t>
        </is>
      </c>
      <c r="H19" s="19" t="inlineStr">
        <is>
          <t>WB21 Schedule API; W011 routing</t>
        </is>
      </c>
    </row>
    <row r="20">
      <c r="A20" s="19" t="inlineStr">
        <is>
          <t>W021</t>
        </is>
      </c>
      <c r="B20" s="19" t="inlineStr">
        <is>
          <t>Patient Workspace shell + Overview tab</t>
        </is>
      </c>
      <c r="C20" s="20" t="inlineStr">
        <is>
          <t>🟠 Not Started</t>
        </is>
      </c>
      <c r="D20" s="20" t="inlineStr">
        <is>
          <t>L</t>
        </is>
      </c>
      <c r="E20" s="20" t="n">
        <v>9</v>
      </c>
      <c r="F20" s="20" t="n">
        <v>2</v>
      </c>
      <c r="G20" s="19" t="inlineStr">
        <is>
          <t>Demographics + latest visit + unresolved items.</t>
        </is>
      </c>
      <c r="H20" s="19" t="inlineStr">
        <is>
          <t>WB20, WB23</t>
        </is>
      </c>
    </row>
    <row r="21">
      <c r="A21" s="19" t="inlineStr">
        <is>
          <t>W022</t>
        </is>
      </c>
      <c r="B21" s="19" t="inlineStr">
        <is>
          <t>Patient Workspace — Appointments tab</t>
        </is>
      </c>
      <c r="C21" s="20" t="inlineStr">
        <is>
          <t>🟠 Not Started</t>
        </is>
      </c>
      <c r="D21" s="20" t="inlineStr">
        <is>
          <t>M</t>
        </is>
      </c>
      <c r="E21" s="20" t="n">
        <v>3</v>
      </c>
      <c r="F21" s="20" t="n">
        <v>0.5</v>
      </c>
      <c r="G21" s="19" t="inlineStr">
        <is>
          <t>Reuses shell; read-only history.</t>
        </is>
      </c>
      <c r="H21" s="19" t="inlineStr">
        <is>
          <t>W021, WB21</t>
        </is>
      </c>
    </row>
    <row r="22">
      <c r="A22" s="19" t="inlineStr">
        <is>
          <t>W023</t>
        </is>
      </c>
      <c r="B22" s="19" t="inlineStr">
        <is>
          <t>Patient Workspace — Visits tab</t>
        </is>
      </c>
      <c r="C22" s="20" t="inlineStr">
        <is>
          <t>🟠 Not Started</t>
        </is>
      </c>
      <c r="D22" s="20" t="inlineStr">
        <is>
          <t>M</t>
        </is>
      </c>
      <c r="E22" s="20" t="n">
        <v>4</v>
      </c>
      <c r="F22" s="20" t="n">
        <v>0.75</v>
      </c>
      <c r="G22" s="19" t="inlineStr">
        <is>
          <t>7 visit states + active drafts + approval state.</t>
        </is>
      </c>
      <c r="H22" s="19" t="inlineStr">
        <is>
          <t>W021, WB22</t>
        </is>
      </c>
    </row>
    <row r="23">
      <c r="A23" s="19" t="inlineStr">
        <is>
          <t>W024</t>
        </is>
      </c>
      <c r="B23" s="19" t="inlineStr">
        <is>
          <t>Patient Workspace — Notes tab</t>
        </is>
      </c>
      <c r="C23" s="20" t="inlineStr">
        <is>
          <t>🟠 Not Started</t>
        </is>
      </c>
      <c r="D23" s="20" t="inlineStr">
        <is>
          <t>M</t>
        </is>
      </c>
      <c r="E23" s="20" t="n">
        <v>4</v>
      </c>
      <c r="F23" s="20" t="n">
        <v>0.75</v>
      </c>
      <c r="G23" s="19" t="inlineStr">
        <is>
          <t>Approved + draft + exported notes.</t>
        </is>
      </c>
      <c r="H23" s="19" t="inlineStr">
        <is>
          <t>W021, WB24, WB25</t>
        </is>
      </c>
    </row>
    <row r="24">
      <c r="A24" s="19" t="inlineStr">
        <is>
          <t>W025</t>
        </is>
      </c>
      <c r="B24" s="19" t="inlineStr">
        <is>
          <t>Patient Workspace — Timeline tab</t>
        </is>
      </c>
      <c r="C24" s="20" t="inlineStr">
        <is>
          <t>🟠 Not Started</t>
        </is>
      </c>
      <c r="D24" s="20" t="inlineStr">
        <is>
          <t>M</t>
        </is>
      </c>
      <c r="E24" s="20" t="n">
        <v>3</v>
      </c>
      <c r="F24" s="20" t="n">
        <v>0.5</v>
      </c>
      <c r="G24" s="19" t="inlineStr">
        <is>
          <t>Longitudinal activity feed.</t>
        </is>
      </c>
      <c r="H24" s="19" t="inlineStr">
        <is>
          <t>W021, WB23</t>
        </is>
      </c>
    </row>
    <row r="25">
      <c r="A25" s="19" t="inlineStr">
        <is>
          <t>W026</t>
        </is>
      </c>
      <c r="B25" s="19" t="inlineStr">
        <is>
          <t>Patient Workspace — Attachments tab</t>
        </is>
      </c>
      <c r="C25" s="20" t="inlineStr">
        <is>
          <t>🟠 Not Started</t>
        </is>
      </c>
      <c r="D25" s="20" t="inlineStr">
        <is>
          <t>S</t>
        </is>
      </c>
      <c r="E25" s="20" t="n">
        <v>2</v>
      </c>
      <c r="F25" s="20" t="n">
        <v>0.5</v>
      </c>
      <c r="G25" s="19" t="inlineStr">
        <is>
          <t>Minimal upload/list. No preview pipeline in MVP.</t>
        </is>
      </c>
      <c r="H25" s="19" t="inlineStr">
        <is>
          <t>W021, S3 upload endpoint</t>
        </is>
      </c>
    </row>
    <row r="26">
      <c r="A26" s="19" t="inlineStr">
        <is>
          <t>W027</t>
        </is>
      </c>
      <c r="B26" s="19" t="inlineStr">
        <is>
          <t>Patient Workspace — Exports tab</t>
        </is>
      </c>
      <c r="C26" s="20" t="inlineStr">
        <is>
          <t>🟠 Not Started</t>
        </is>
      </c>
      <c r="D26" s="20" t="inlineStr">
        <is>
          <t>S</t>
        </is>
      </c>
      <c r="E26" s="20" t="n">
        <v>2</v>
      </c>
      <c r="F26" s="20" t="n">
        <v>0.5</v>
      </c>
      <c r="G26" s="19" t="inlineStr">
        <is>
          <t>Export history list.</t>
        </is>
      </c>
      <c r="H26" s="19" t="inlineStr">
        <is>
          <t>W021, WB25</t>
        </is>
      </c>
    </row>
    <row r="27">
      <c r="A27" s="19" t="inlineStr">
        <is>
          <t>W028</t>
        </is>
      </c>
      <c r="B27" s="19" t="inlineStr">
        <is>
          <t>Visit Workspace / AI Documentation Review (CORE)</t>
        </is>
      </c>
      <c r="C27" s="20" t="inlineStr">
        <is>
          <t>🟠 Not Started</t>
        </is>
      </c>
      <c r="D27" s="20" t="inlineStr">
        <is>
          <t>XL</t>
        </is>
      </c>
      <c r="E27" s="20" t="n">
        <v>24</v>
      </c>
      <c r="F27" s="20" t="n">
        <v>5</v>
      </c>
      <c r="G27" s="19" t="inlineStr">
        <is>
          <t>CORE physician workflow. Real-time Stage 1/2 over WS + inline editing + approval. Largest single item.</t>
        </is>
      </c>
      <c r="H27" s="19" t="inlineStr">
        <is>
          <t>W014, WB22, WB24, WB25</t>
        </is>
      </c>
    </row>
    <row r="28">
      <c r="A28" s="19" t="inlineStr">
        <is>
          <t>W029</t>
        </is>
      </c>
      <c r="B28" s="19" t="inlineStr">
        <is>
          <t>Conflict Resolution UI</t>
        </is>
      </c>
      <c r="C28" s="20" t="inlineStr">
        <is>
          <t>🟠 Not Started</t>
        </is>
      </c>
      <c r="D28" s="20" t="inlineStr">
        <is>
          <t>L</t>
        </is>
      </c>
      <c r="E28" s="20" t="n">
        <v>11</v>
      </c>
      <c r="F28" s="20" t="n">
        <v>2</v>
      </c>
      <c r="G28" s="19" t="inlineStr">
        <is>
          <t>ENRICHES/REPEATS/CONFLICTS panel.</t>
        </is>
      </c>
      <c r="H28" s="19" t="inlineStr">
        <is>
          <t>W028, WB24</t>
        </is>
      </c>
    </row>
    <row r="29">
      <c r="A29" s="14" t="inlineStr">
        <is>
          <t>W090</t>
        </is>
      </c>
      <c r="B29" s="14" t="inlineStr">
        <is>
          <t>French Localization</t>
        </is>
      </c>
      <c r="C29" s="15" t="inlineStr">
        <is>
          <t>🟣 Future</t>
        </is>
      </c>
      <c r="D29" s="15" t="inlineStr">
        <is>
          <t>L</t>
        </is>
      </c>
      <c r="E29" s="15" t="n">
        <v>8</v>
      </c>
      <c r="F29" s="15" t="n">
        <v>3</v>
      </c>
      <c r="G29" s="14" t="inlineStr">
        <is>
          <t>Deferred post-pilot. i18n scaffolding needed first.</t>
        </is>
      </c>
      <c r="H29" s="14" t="inlineStr">
        <is>
          <t>MVP strings externalised</t>
        </is>
      </c>
    </row>
    <row r="30">
      <c r="A30" s="14" t="inlineStr">
        <is>
          <t>W091</t>
        </is>
      </c>
      <c r="B30" s="14" t="inlineStr">
        <is>
          <t>Patient-Facing Portal</t>
        </is>
      </c>
      <c r="C30" s="15" t="inlineStr">
        <is>
          <t>🟣 Future</t>
        </is>
      </c>
      <c r="D30" s="15" t="inlineStr">
        <is>
          <t>XL</t>
        </is>
      </c>
      <c r="E30" s="15" t="n">
        <v>15</v>
      </c>
      <c r="F30" s="15" t="n">
        <v>6</v>
      </c>
      <c r="G30" s="14" t="inlineStr">
        <is>
          <t>Out of MVP — new audience + auth surface.</t>
        </is>
      </c>
      <c r="H30" s="14" t="inlineStr">
        <is>
          <t>Patient identity/auth model</t>
        </is>
      </c>
    </row>
    <row r="31">
      <c r="A31" s="14" t="inlineStr">
        <is>
          <t>W092</t>
        </is>
      </c>
      <c r="B31" s="14" t="inlineStr">
        <is>
          <t>Advanced Analytics Dashboard</t>
        </is>
      </c>
      <c r="C31" s="15" t="inlineStr">
        <is>
          <t>🟣 Future</t>
        </is>
      </c>
      <c r="D31" s="15" t="inlineStr">
        <is>
          <t>L</t>
        </is>
      </c>
      <c r="E31" s="15" t="n">
        <v>8</v>
      </c>
      <c r="F31" s="15" t="n">
        <v>2</v>
      </c>
      <c r="G31" s="14" t="inlineStr">
        <is>
          <t>Pilot dashboard adequate.</t>
        </is>
      </c>
      <c r="H31" s="14" t="inlineStr">
        <is>
          <t>Chart library selected</t>
        </is>
      </c>
    </row>
    <row r="33">
      <c r="B33" s="3" t="inlineStr">
        <is>
          <t>TOTALS</t>
        </is>
      </c>
      <c r="E33" s="3">
        <f>SUM(E5:E31)</f>
        <v/>
      </c>
      <c r="F33" s="3">
        <f>SUM(F5:F31)</f>
        <v/>
      </c>
    </row>
    <row r="34">
      <c r="B34" s="16" t="inlineStr">
        <is>
          <t>REMAINING (not 🟢 Done, excl. 🟣 Future)</t>
        </is>
      </c>
      <c r="E34" s="3">
        <f>SUMPRODUCT((NOT(ISNUMBER(SEARCH("Done", C5:C31)))) * (NOT(ISNUMBER(SEARCH("Future", C5:C31)))) * E5:E31)</f>
        <v/>
      </c>
      <c r="F34" s="3">
        <f>SUMPRODUCT((NOT(ISNUMBER(SEARCH("Done", C5:C31)))) * (NOT(ISNUMBER(SEARCH("Future", C5:C31)))) * F5:F31)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9" customWidth="1" min="4" max="4"/>
    <col width="16" customWidth="1" min="5" max="5"/>
    <col width="17" customWidth="1" min="6" max="6"/>
    <col width="60" customWidth="1" min="7" max="7"/>
    <col width="30" customWidth="1" min="8" max="8"/>
  </cols>
  <sheetData>
    <row r="1">
      <c r="A1" s="10" t="inlineStr">
        <is>
          <t>BACKEND SERVICES</t>
        </is>
      </c>
    </row>
    <row r="2">
      <c r="A2" s="11" t="inlineStr">
        <is>
          <t>Lane: FastAPI · status as-of 2026-05-22</t>
        </is>
      </c>
    </row>
    <row r="4">
      <c r="A4" s="6" t="inlineStr">
        <is>
          <t>ID</t>
        </is>
      </c>
      <c r="B4" s="6" t="inlineStr">
        <is>
          <t>Name / Description</t>
        </is>
      </c>
      <c r="C4" s="6" t="inlineStr">
        <is>
          <t>Status</t>
        </is>
      </c>
      <c r="D4" s="6" t="inlineStr">
        <is>
          <t>S/M/L/XL</t>
        </is>
      </c>
      <c r="E4" s="6" t="inlineStr">
        <is>
          <t>Human-Days (P50)</t>
        </is>
      </c>
      <c r="F4" s="6" t="inlineStr">
        <is>
          <t>Claude-Code-Days</t>
        </is>
      </c>
      <c r="G4" s="6" t="inlineStr">
        <is>
          <t>Notes / Commit</t>
        </is>
      </c>
      <c r="H4" s="6" t="inlineStr">
        <is>
          <t>Pre-requisites</t>
        </is>
      </c>
    </row>
    <row r="5">
      <c r="A5" s="12" t="inlineStr">
        <is>
          <t>B001</t>
        </is>
      </c>
      <c r="B5" s="12" t="inlineStr">
        <is>
          <t>Auth (api/v1/auth.py)</t>
        </is>
      </c>
      <c r="C5" s="13" t="inlineStr">
        <is>
          <t>🟢 Done</t>
        </is>
      </c>
      <c r="D5" s="13" t="inlineStr">
        <is>
          <t>M</t>
        </is>
      </c>
      <c r="E5" s="13" t="n">
        <v>3</v>
      </c>
      <c r="F5" s="13" t="n">
        <v>0.5</v>
      </c>
      <c r="G5" s="12" t="inlineStr">
        <is>
          <t>Cognito JWKS + JWT + dev seed (now @dataclass per Q-06).</t>
        </is>
      </c>
      <c r="H5" s="12" t="inlineStr">
        <is>
          <t>—</t>
        </is>
      </c>
    </row>
    <row r="6">
      <c r="A6" s="12" t="inlineStr">
        <is>
          <t>B002</t>
        </is>
      </c>
      <c r="B6" s="12" t="inlineStr">
        <is>
          <t>Profile (api/v1/profile.py)</t>
        </is>
      </c>
      <c r="C6" s="13" t="inlineStr">
        <is>
          <t>🟢 Done</t>
        </is>
      </c>
      <c r="D6" s="13" t="inlineStr">
        <is>
          <t>S</t>
        </is>
      </c>
      <c r="E6" s="13" t="n">
        <v>1</v>
      </c>
      <c r="F6" s="13" t="n">
        <v>0.25</v>
      </c>
      <c r="G6" s="12" t="inlineStr">
        <is>
          <t>Physician profile CRUD.</t>
        </is>
      </c>
      <c r="H6" s="12" t="inlineStr">
        <is>
          <t>—</t>
        </is>
      </c>
    </row>
    <row r="7">
      <c r="A7" s="12" t="inlineStr">
        <is>
          <t>B003</t>
        </is>
      </c>
      <c r="B7" s="12" t="inlineStr">
        <is>
          <t>Config (api/v1/config.py)</t>
        </is>
      </c>
      <c r="C7" s="13" t="inlineStr">
        <is>
          <t>🟢 Done</t>
        </is>
      </c>
      <c r="D7" s="13" t="inlineStr">
        <is>
          <t>S</t>
        </is>
      </c>
      <c r="E7" s="13" t="n">
        <v>1</v>
      </c>
      <c r="F7" s="13" t="n">
        <v>0.25</v>
      </c>
      <c r="G7" s="12" t="inlineStr">
        <is>
          <t>Runtime AppConfig.</t>
        </is>
      </c>
      <c r="H7" s="12" t="inlineStr">
        <is>
          <t>M008 AppConfig</t>
        </is>
      </c>
    </row>
    <row r="8">
      <c r="A8" s="12" t="inlineStr">
        <is>
          <t>B004</t>
        </is>
      </c>
      <c r="B8" s="12" t="inlineStr">
        <is>
          <t>Admin (api/v1/admin.py — package split)</t>
        </is>
      </c>
      <c r="C8" s="13" t="inlineStr">
        <is>
          <t>🟢 Done</t>
        </is>
      </c>
      <c r="D8" s="13" t="inlineStr">
        <is>
          <t>L</t>
        </is>
      </c>
      <c r="E8" s="13" t="n">
        <v>8</v>
      </c>
      <c r="F8" s="13" t="n">
        <v>1.5</v>
      </c>
      <c r="G8" s="12" t="inlineStr">
        <is>
          <t>CQR-4 split into users/sessions/eval/metrics. Cognito wiring now real.</t>
        </is>
      </c>
      <c r="H8" s="12" t="inlineStr">
        <is>
          <t>B025 Alembic</t>
        </is>
      </c>
    </row>
    <row r="9">
      <c r="A9" s="12" t="inlineStr">
        <is>
          <t>B005</t>
        </is>
      </c>
      <c r="B9" s="12" t="inlineStr">
        <is>
          <t>Privacy (api/v1/privacy.py)</t>
        </is>
      </c>
      <c r="C9" s="13" t="inlineStr">
        <is>
          <t>🟢 Done</t>
        </is>
      </c>
      <c r="D9" s="13" t="inlineStr">
        <is>
          <t>M</t>
        </is>
      </c>
      <c r="E9" s="13" t="n">
        <v>3</v>
      </c>
      <c r="F9" s="13" t="n">
        <v>0.5</v>
      </c>
      <c r="G9" s="12" t="inlineStr">
        <is>
          <t>PHI masking report + DSAR purge.</t>
        </is>
      </c>
      <c r="H9" s="12" t="inlineStr">
        <is>
          <t>B018</t>
        </is>
      </c>
    </row>
    <row r="10">
      <c r="A10" s="12" t="inlineStr">
        <is>
          <t>B006</t>
        </is>
      </c>
      <c r="B10" s="12" t="inlineStr">
        <is>
          <t>Sessions (api/v1/sessions.py)</t>
        </is>
      </c>
      <c r="C10" s="13" t="inlineStr">
        <is>
          <t>🟢 Done</t>
        </is>
      </c>
      <c r="D10" s="13" t="inlineStr">
        <is>
          <t>L</t>
        </is>
      </c>
      <c r="E10" s="13" t="n">
        <v>8</v>
      </c>
      <c r="F10" s="13" t="n">
        <v>1.5</v>
      </c>
      <c r="G10" s="12" t="inlineStr">
        <is>
          <t>10-state lifecycle + paper-consent metadata.</t>
        </is>
      </c>
      <c r="H10" s="12" t="inlineStr">
        <is>
          <t>B021</t>
        </is>
      </c>
    </row>
    <row r="11">
      <c r="A11" s="12" t="inlineStr">
        <is>
          <t>B007</t>
        </is>
      </c>
      <c r="B11" s="12" t="inlineStr">
        <is>
          <t>Transcription (api/v1/transcription.py)</t>
        </is>
      </c>
      <c r="C11" s="13" t="inlineStr">
        <is>
          <t>🟢 Done</t>
        </is>
      </c>
      <c r="D11" s="13" t="inlineStr">
        <is>
          <t>XL</t>
        </is>
      </c>
      <c r="E11" s="13" t="n">
        <v>15</v>
      </c>
      <c r="F11" s="13" t="n">
        <v>2.5</v>
      </c>
      <c r="G11" s="12" t="inlineStr">
        <is>
          <t>Whisper / AssemblyAI via registry + speaker tags + Stage 1 SLA.</t>
        </is>
      </c>
      <c r="H11" s="12" t="inlineStr">
        <is>
          <t>B015, M001</t>
        </is>
      </c>
    </row>
    <row r="12">
      <c r="A12" s="12" t="inlineStr">
        <is>
          <t>B008</t>
        </is>
      </c>
      <c r="B12" s="12" t="inlineStr">
        <is>
          <t>Frames (api/v1/frames.py)</t>
        </is>
      </c>
      <c r="C12" s="13" t="inlineStr">
        <is>
          <t>🟢 Done</t>
        </is>
      </c>
      <c r="D12" s="13" t="inlineStr">
        <is>
          <t>M</t>
        </is>
      </c>
      <c r="E12" s="13" t="n">
        <v>3</v>
      </c>
      <c r="F12" s="13" t="n">
        <v>0.5</v>
      </c>
      <c r="G12" s="12" t="inlineStr">
        <is>
          <t>MaskingProof required on upload.</t>
        </is>
      </c>
      <c r="H12" s="12" t="inlineStr">
        <is>
          <t>B018</t>
        </is>
      </c>
    </row>
    <row r="13">
      <c r="A13" s="12" t="inlineStr">
        <is>
          <t>B009</t>
        </is>
      </c>
      <c r="B13" s="12" t="inlineStr">
        <is>
          <t>Screen (api/v1/screen.py)</t>
        </is>
      </c>
      <c r="C13" s="13" t="inlineStr">
        <is>
          <t>🟢 Done</t>
        </is>
      </c>
      <c r="D13" s="13" t="inlineStr">
        <is>
          <t>L</t>
        </is>
      </c>
      <c r="E13" s="13" t="n">
        <v>8</v>
      </c>
      <c r="F13" s="13" t="n">
        <v>1.5</v>
      </c>
      <c r="G13" s="12" t="inlineStr">
        <is>
          <t>B-05 + M-08 vertical slice.</t>
        </is>
      </c>
      <c r="H13" s="12" t="inlineStr">
        <is>
          <t>B010, B019, M011</t>
        </is>
      </c>
    </row>
    <row r="14">
      <c r="A14" s="12" t="inlineStr">
        <is>
          <t>B010</t>
        </is>
      </c>
      <c r="B14" s="12" t="inlineStr">
        <is>
          <t>Notes (api/v1/notes.py)</t>
        </is>
      </c>
      <c r="C14" s="13" t="inlineStr">
        <is>
          <t>🟢 Done</t>
        </is>
      </c>
      <c r="D14" s="13" t="inlineStr">
        <is>
          <t>XL</t>
        </is>
      </c>
      <c r="E14" s="13" t="n">
        <v>15</v>
      </c>
      <c r="F14" s="13" t="n">
        <v>2.5</v>
      </c>
      <c r="G14" s="12" t="inlineStr">
        <is>
          <t>Stage 1/2 + approve-stage1 async dispatch (M-09, M-10, B-06).</t>
        </is>
      </c>
      <c r="H14" s="12" t="inlineStr">
        <is>
          <t>B011, B022, B023</t>
        </is>
      </c>
    </row>
    <row r="15">
      <c r="A15" s="12" t="inlineStr">
        <is>
          <t>B011</t>
        </is>
      </c>
      <c r="B15" s="12" t="inlineStr">
        <is>
          <t>Vision (api/v1/vision.py)</t>
        </is>
      </c>
      <c r="C15" s="13" t="inlineStr">
        <is>
          <t>🟢 Done</t>
        </is>
      </c>
      <c r="D15" s="13" t="inlineStr">
        <is>
          <t>XL</t>
        </is>
      </c>
      <c r="E15" s="13" t="n">
        <v>15</v>
      </c>
      <c r="F15" s="13" t="n">
        <v>2.5</v>
      </c>
      <c r="G15" s="12" t="inlineStr">
        <is>
          <t>Stage 2 captioning + conflict detection.</t>
        </is>
      </c>
      <c r="H15" s="12" t="inlineStr">
        <is>
          <t>B016 vision providers</t>
        </is>
      </c>
    </row>
    <row r="16">
      <c r="A16" s="12" t="inlineStr">
        <is>
          <t>B012</t>
        </is>
      </c>
      <c r="B16" s="12" t="inlineStr">
        <is>
          <t>Export (api/v1/export.py)</t>
        </is>
      </c>
      <c r="C16" s="13" t="inlineStr">
        <is>
          <t>🟢 Done</t>
        </is>
      </c>
      <c r="D16" s="13" t="inlineStr">
        <is>
          <t>M</t>
        </is>
      </c>
      <c r="E16" s="13" t="n">
        <v>3</v>
      </c>
      <c r="F16" s="13" t="n">
        <v>0.5</v>
      </c>
      <c r="G16" s="12" t="inlineStr">
        <is>
          <t>On-device + audit endpoint (B-09).</t>
        </is>
      </c>
      <c r="H16" s="12" t="inlineStr">
        <is>
          <t>B020 Cleanup</t>
        </is>
      </c>
    </row>
    <row r="17">
      <c r="A17" s="12" t="inlineStr">
        <is>
          <t>B013</t>
        </is>
      </c>
      <c r="B17" s="12" t="inlineStr">
        <is>
          <t>Health (api/v1/health.py)</t>
        </is>
      </c>
      <c r="C17" s="13" t="inlineStr">
        <is>
          <t>🟢 Done</t>
        </is>
      </c>
      <c r="D17" s="13" t="inlineStr">
        <is>
          <t>S</t>
        </is>
      </c>
      <c r="E17" s="13" t="n">
        <v>1</v>
      </c>
      <c r="F17" s="13" t="n">
        <v>0.25</v>
      </c>
      <c r="G17" s="12" t="inlineStr">
        <is>
          <t>Liveness for ECS/ALB.</t>
        </is>
      </c>
      <c r="H17" s="12" t="inlineStr">
        <is>
          <t>—</t>
        </is>
      </c>
    </row>
    <row r="18">
      <c r="A18" s="12" t="inlineStr">
        <is>
          <t>B014</t>
        </is>
      </c>
      <c r="B18" s="12" t="inlineStr">
        <is>
          <t>WebSocket (api/v1/websocket.py)</t>
        </is>
      </c>
      <c r="C18" s="13" t="inlineStr">
        <is>
          <t>🟢 Done</t>
        </is>
      </c>
      <c r="D18" s="13" t="inlineStr">
        <is>
          <t>M</t>
        </is>
      </c>
      <c r="E18" s="13" t="n">
        <v>3</v>
      </c>
      <c r="F18" s="13" t="n">
        <v>0.5</v>
      </c>
      <c r="G18" s="12" t="inlineStr">
        <is>
          <t>Server-side delivered.</t>
        </is>
      </c>
      <c r="H18" s="12" t="inlineStr">
        <is>
          <t>B010</t>
        </is>
      </c>
    </row>
    <row r="19">
      <c r="A19" s="12" t="inlineStr">
        <is>
          <t>B015</t>
        </is>
      </c>
      <c r="B19" s="12" t="inlineStr">
        <is>
          <t>Note-gen providers (modules/providers/note_gen/)</t>
        </is>
      </c>
      <c r="C19" s="13" t="inlineStr">
        <is>
          <t>🟢 Done</t>
        </is>
      </c>
      <c r="D19" s="13" t="inlineStr">
        <is>
          <t>XL</t>
        </is>
      </c>
      <c r="E19" s="13" t="n">
        <v>15</v>
      </c>
      <c r="F19" s="13" t="n">
        <v>2.5</v>
      </c>
      <c r="G19" s="12" t="inlineStr">
        <is>
          <t>OpenAI + Anthropic + Gemini.</t>
        </is>
      </c>
      <c r="H19" s="12" t="inlineStr">
        <is>
          <t>B024 registry</t>
        </is>
      </c>
    </row>
    <row r="20">
      <c r="A20" s="12" t="inlineStr">
        <is>
          <t>B016</t>
        </is>
      </c>
      <c r="B20" s="12" t="inlineStr">
        <is>
          <t>Vision providers (modules/providers/vision/)</t>
        </is>
      </c>
      <c r="C20" s="13" t="inlineStr">
        <is>
          <t>🟢 Done</t>
        </is>
      </c>
      <c r="D20" s="13" t="inlineStr">
        <is>
          <t>L</t>
        </is>
      </c>
      <c r="E20" s="13" t="n">
        <v>8</v>
      </c>
      <c r="F20" s="13" t="n">
        <v>1.5</v>
      </c>
      <c r="G20" s="12" t="inlineStr">
        <is>
          <t>OpenAI + Anthropic + Gemini.</t>
        </is>
      </c>
      <c r="H20" s="12" t="inlineStr">
        <is>
          <t>B024 registry</t>
        </is>
      </c>
    </row>
    <row r="21">
      <c r="A21" s="12" t="inlineStr">
        <is>
          <t>B017</t>
        </is>
      </c>
      <c r="B21" s="12" t="inlineStr">
        <is>
          <t>Transcription providers (modules/providers/transcription/)</t>
        </is>
      </c>
      <c r="C21" s="13" t="inlineStr">
        <is>
          <t>🟢 Done</t>
        </is>
      </c>
      <c r="D21" s="13" t="inlineStr">
        <is>
          <t>M</t>
        </is>
      </c>
      <c r="E21" s="13" t="n">
        <v>3</v>
      </c>
      <c r="F21" s="13" t="n">
        <v>0.5</v>
      </c>
      <c r="G21" s="12" t="inlineStr">
        <is>
          <t>Whisper + AssemblyAI.</t>
        </is>
      </c>
      <c r="H21" s="12" t="inlineStr">
        <is>
          <t>B024 registry</t>
        </is>
      </c>
    </row>
    <row r="22">
      <c r="A22" s="12" t="inlineStr">
        <is>
          <t>B018</t>
        </is>
      </c>
      <c r="B22" s="12" t="inlineStr">
        <is>
          <t>Audit log service (modules/audit_log/)</t>
        </is>
      </c>
      <c r="C22" s="13" t="inlineStr">
        <is>
          <t>🟢 Done</t>
        </is>
      </c>
      <c r="D22" s="13" t="inlineStr">
        <is>
          <t>M</t>
        </is>
      </c>
      <c r="E22" s="13" t="n">
        <v>3</v>
      </c>
      <c r="F22" s="13" t="n">
        <v>0.5</v>
      </c>
      <c r="G22" s="12" t="inlineStr">
        <is>
          <t>DynamoDB append-only + AuditEventType StrEnum (Q-01) + kwarg whitelist (Q-03).</t>
        </is>
      </c>
      <c r="H22" s="12" t="inlineStr">
        <is>
          <t>M007 DynamoDB</t>
        </is>
      </c>
    </row>
    <row r="23">
      <c r="A23" s="12" t="inlineStr">
        <is>
          <t>B019</t>
        </is>
      </c>
      <c r="B23" s="12" t="inlineStr">
        <is>
          <t>PHI audit service (modules/phi_audit/)</t>
        </is>
      </c>
      <c r="C23" s="13" t="inlineStr">
        <is>
          <t>🟢 Done</t>
        </is>
      </c>
      <c r="D23" s="13" t="inlineStr">
        <is>
          <t>M</t>
        </is>
      </c>
      <c r="E23" s="13" t="n">
        <v>3</v>
      </c>
      <c r="F23" s="13" t="n">
        <v>0.5</v>
      </c>
      <c r="G23" s="12" t="inlineStr">
        <is>
          <t>Comprehend Medical scan + audit-on-hit.</t>
        </is>
      </c>
      <c r="H23" s="12" t="inlineStr">
        <is>
          <t>M012 Comprehend Medical</t>
        </is>
      </c>
    </row>
    <row r="24">
      <c r="A24" s="12" t="inlineStr">
        <is>
          <t>B020</t>
        </is>
      </c>
      <c r="B24" s="12" t="inlineStr">
        <is>
          <t>Cleanup service (modules/cleanup/)</t>
        </is>
      </c>
      <c r="C24" s="13" t="inlineStr">
        <is>
          <t>🟢 Done</t>
        </is>
      </c>
      <c r="D24" s="13" t="inlineStr">
        <is>
          <t>M</t>
        </is>
      </c>
      <c r="E24" s="13" t="n">
        <v>3</v>
      </c>
      <c r="F24" s="13" t="n">
        <v>0.5</v>
      </c>
      <c r="G24" s="12" t="inlineStr">
        <is>
          <t>Purge lifecycle + audited confirmation.</t>
        </is>
      </c>
      <c r="H24" s="12" t="inlineStr">
        <is>
          <t>M006 S3, B018</t>
        </is>
      </c>
    </row>
    <row r="25">
      <c r="A25" s="12" t="inlineStr">
        <is>
          <t>B021</t>
        </is>
      </c>
      <c r="B25" s="12" t="inlineStr">
        <is>
          <t>Session state machine (modules/session/)</t>
        </is>
      </c>
      <c r="C25" s="13" t="inlineStr">
        <is>
          <t>🟢 Done</t>
        </is>
      </c>
      <c r="D25" s="13" t="inlineStr">
        <is>
          <t>L</t>
        </is>
      </c>
      <c r="E25" s="13" t="n">
        <v>8</v>
      </c>
      <c r="F25" s="13" t="n">
        <v>1.5</v>
      </c>
      <c r="G25" s="12" t="inlineStr">
        <is>
          <t>10-state + consent hard-block.</t>
        </is>
      </c>
      <c r="H25" s="12" t="inlineStr">
        <is>
          <t>B018</t>
        </is>
      </c>
    </row>
    <row r="26">
      <c r="A26" s="12" t="inlineStr">
        <is>
          <t>B022</t>
        </is>
      </c>
      <c r="B26" s="12" t="inlineStr">
        <is>
          <t>Note versioning service (modules/note_gen/)</t>
        </is>
      </c>
      <c r="C26" s="13" t="inlineStr">
        <is>
          <t>🟢 Done</t>
        </is>
      </c>
      <c r="D26" s="13" t="inlineStr">
        <is>
          <t>L</t>
        </is>
      </c>
      <c r="E26" s="13" t="n">
        <v>8</v>
      </c>
      <c r="F26" s="13" t="n">
        <v>1.5</v>
      </c>
      <c r="G26" s="12" t="inlineStr">
        <is>
          <t>Immutable versions + approve marker + M-09 source anchoring.</t>
        </is>
      </c>
      <c r="H26" s="12" t="inlineStr">
        <is>
          <t>B010</t>
        </is>
      </c>
    </row>
    <row r="27">
      <c r="A27" s="12" t="inlineStr">
        <is>
          <t>B023</t>
        </is>
      </c>
      <c r="B27" s="12" t="inlineStr">
        <is>
          <t>Stage 2 job queue (modules/vision/jobs.py)</t>
        </is>
      </c>
      <c r="C27" s="13" t="inlineStr">
        <is>
          <t>🟢 Done</t>
        </is>
      </c>
      <c r="D27" s="13" t="inlineStr">
        <is>
          <t>M</t>
        </is>
      </c>
      <c r="E27" s="13" t="n">
        <v>3</v>
      </c>
      <c r="F27" s="13" t="n">
        <v>0.5</v>
      </c>
      <c r="G27" s="12" t="inlineStr">
        <is>
          <t>Async pending→running→completed/failed (B-06).</t>
        </is>
      </c>
      <c r="H27" s="12" t="inlineStr">
        <is>
          <t>B011</t>
        </is>
      </c>
    </row>
    <row r="28">
      <c r="A28" s="12" t="inlineStr">
        <is>
          <t>B024</t>
        </is>
      </c>
      <c r="B28" s="12" t="inlineStr">
        <is>
          <t>Provider registry (modules/config/provider_registry.py)</t>
        </is>
      </c>
      <c r="C28" s="13" t="inlineStr">
        <is>
          <t>🟢 Done</t>
        </is>
      </c>
      <c r="D28" s="13" t="inlineStr">
        <is>
          <t>M</t>
        </is>
      </c>
      <c r="E28" s="13" t="n">
        <v>3</v>
      </c>
      <c r="F28" s="13" t="n">
        <v>0.5</v>
      </c>
      <c r="G28" s="12" t="inlineStr">
        <is>
          <t>Type-safe; drives &lt;30s AppConfig swap.</t>
        </is>
      </c>
      <c r="H28" s="12" t="inlineStr">
        <is>
          <t>M008</t>
        </is>
      </c>
    </row>
    <row r="29">
      <c r="A29" s="12" t="inlineStr">
        <is>
          <t>B025</t>
        </is>
      </c>
      <c r="B29" s="12" t="inlineStr">
        <is>
          <t>Alembic migrations (P0-04)</t>
        </is>
      </c>
      <c r="C29" s="13" t="inlineStr">
        <is>
          <t>🟢 Done</t>
        </is>
      </c>
      <c r="D29" s="13" t="inlineStr">
        <is>
          <t>L</t>
        </is>
      </c>
      <c r="E29" s="13" t="n">
        <v>8</v>
      </c>
      <c r="F29" s="13" t="n">
        <v>1.5</v>
      </c>
      <c r="G29" s="12" t="inlineStr">
        <is>
          <t>Prod schema bootstrap + evolution (commit e330675).</t>
        </is>
      </c>
      <c r="H29" s="12" t="inlineStr">
        <is>
          <t>All models</t>
        </is>
      </c>
    </row>
    <row r="30">
      <c r="A30" s="12" t="inlineStr">
        <is>
          <t>B026</t>
        </is>
      </c>
      <c r="B30" s="12" t="inlineStr">
        <is>
          <t>Persistent users + admin (P0-06)</t>
        </is>
      </c>
      <c r="C30" s="13" t="inlineStr">
        <is>
          <t>🟢 Done</t>
        </is>
      </c>
      <c r="D30" s="13" t="inlineStr">
        <is>
          <t>L</t>
        </is>
      </c>
      <c r="E30" s="13" t="n">
        <v>8</v>
      </c>
      <c r="F30" s="13" t="n">
        <v>1.5</v>
      </c>
      <c r="G30" s="12" t="inlineStr">
        <is>
          <t>_MOCK_USERS → SQL + Cognito (commit e7a5a90).</t>
        </is>
      </c>
      <c r="H30" s="12" t="inlineStr">
        <is>
          <t>B001, B025</t>
        </is>
      </c>
    </row>
    <row r="31">
      <c r="A31" s="12" t="inlineStr">
        <is>
          <t>B027</t>
        </is>
      </c>
      <c r="B31" s="12" t="inlineStr">
        <is>
          <t>Persistent eval scoring (B-08)</t>
        </is>
      </c>
      <c r="C31" s="13" t="inlineStr">
        <is>
          <t>🟢 Done</t>
        </is>
      </c>
      <c r="D31" s="13" t="inlineStr">
        <is>
          <t>M</t>
        </is>
      </c>
      <c r="E31" s="13" t="n">
        <v>3</v>
      </c>
      <c r="F31" s="13" t="n">
        <v>0.5</v>
      </c>
      <c r="G31" s="12" t="inlineStr">
        <is>
          <t>EvalRecordModel + retention.</t>
        </is>
      </c>
      <c r="H31" s="12" t="inlineStr">
        <is>
          <t>B025</t>
        </is>
      </c>
    </row>
    <row r="32">
      <c r="A32" s="12" t="inlineStr">
        <is>
          <t>B028</t>
        </is>
      </c>
      <c r="B32" s="12" t="inlineStr">
        <is>
          <t>End-to-end smoke test (P0-07)</t>
        </is>
      </c>
      <c r="C32" s="13" t="inlineStr">
        <is>
          <t>🟢 Done</t>
        </is>
      </c>
      <c r="D32" s="13" t="inlineStr">
        <is>
          <t>M</t>
        </is>
      </c>
      <c r="E32" s="13" t="n">
        <v>3</v>
      </c>
      <c r="F32" s="13" t="n">
        <v>0.5</v>
      </c>
      <c r="G32" s="12" t="inlineStr">
        <is>
          <t>in-process FastAPI + ASGITransport + SAVEPOINT rollback (commit 3835704).</t>
        </is>
      </c>
      <c r="H32" s="12" t="inlineStr">
        <is>
          <t>All modules</t>
        </is>
      </c>
    </row>
    <row r="33">
      <c r="A33" s="12" t="inlineStr">
        <is>
          <t>Q-01</t>
        </is>
      </c>
      <c r="B33" s="12" t="inlineStr">
        <is>
          <t>AuditEventType StrEnum</t>
        </is>
      </c>
      <c r="C33" s="13" t="inlineStr">
        <is>
          <t>🟢 Done</t>
        </is>
      </c>
      <c r="D33" s="13" t="inlineStr">
        <is>
          <t>M</t>
        </is>
      </c>
      <c r="E33" s="13" t="n">
        <v>2</v>
      </c>
      <c r="F33" s="13" t="n">
        <v>0.25</v>
      </c>
      <c r="G33" s="12" t="inlineStr">
        <is>
          <t>Typo-safe audit event types (commit 5c26052).</t>
        </is>
      </c>
      <c r="H33" s="12" t="inlineStr">
        <is>
          <t>—</t>
        </is>
      </c>
    </row>
    <row r="34">
      <c r="A34" s="12" t="inlineStr">
        <is>
          <t>Q-02</t>
        </is>
      </c>
      <c r="B34" s="12" t="inlineStr">
        <is>
          <t>privacy.py _purge_session_prefix extraction</t>
        </is>
      </c>
      <c r="C34" s="13" t="inlineStr">
        <is>
          <t>🟢 Done</t>
        </is>
      </c>
      <c r="D34" s="13" t="inlineStr">
        <is>
          <t>S</t>
        </is>
      </c>
      <c r="E34" s="13" t="n">
        <v>1</v>
      </c>
      <c r="F34" s="13" t="n">
        <v>0.25</v>
      </c>
      <c r="G34" s="12" t="inlineStr">
        <is>
          <t>Flattened purge nesting + metric count bugfix (commit ec3a318).</t>
        </is>
      </c>
      <c r="H34" s="12" t="inlineStr">
        <is>
          <t>—</t>
        </is>
      </c>
    </row>
    <row r="35">
      <c r="A35" s="12" t="inlineStr">
        <is>
          <t>Q-03</t>
        </is>
      </c>
      <c r="B35" s="12" t="inlineStr">
        <is>
          <t>write_audit kwarg whitelist + strict mode</t>
        </is>
      </c>
      <c r="C35" s="13" t="inlineStr">
        <is>
          <t>🟢 Done</t>
        </is>
      </c>
      <c r="D35" s="13" t="inlineStr">
        <is>
          <t>S</t>
        </is>
      </c>
      <c r="E35" s="13" t="n">
        <v>1</v>
      </c>
      <c r="F35" s="13" t="n">
        <v>0.25</v>
      </c>
      <c r="G35" s="12" t="inlineStr">
        <is>
          <t>Runtime kwarg validator (commit d539a57).</t>
        </is>
      </c>
      <c r="H35" s="12" t="inlineStr">
        <is>
          <t>Q-01</t>
        </is>
      </c>
    </row>
    <row r="36">
      <c r="A36" s="12" t="inlineStr">
        <is>
          <t>Q-05</t>
        </is>
      </c>
      <c r="B36" s="12" t="inlineStr">
        <is>
          <t>_to_uuid → core/uuids.py</t>
        </is>
      </c>
      <c r="C36" s="13" t="inlineStr">
        <is>
          <t>🟢 Done</t>
        </is>
      </c>
      <c r="D36" s="13" t="inlineStr">
        <is>
          <t>S</t>
        </is>
      </c>
      <c r="E36" s="13" t="n">
        <v>0.5</v>
      </c>
      <c r="F36" s="13" t="n">
        <v>0.1</v>
      </c>
      <c r="G36" s="12" t="inlineStr">
        <is>
          <t>4 duplicate copies → 1 helper (commit bdb22c3).</t>
        </is>
      </c>
      <c r="H36" s="12" t="inlineStr">
        <is>
          <t>—</t>
        </is>
      </c>
    </row>
    <row r="37">
      <c r="A37" s="12" t="inlineStr">
        <is>
          <t>Q-06</t>
        </is>
      </c>
      <c r="B37" s="12" t="inlineStr">
        <is>
          <t>_DevUser → frozen @dataclass</t>
        </is>
      </c>
      <c r="C37" s="13" t="inlineStr">
        <is>
          <t>🟢 Done</t>
        </is>
      </c>
      <c r="D37" s="13" t="inlineStr">
        <is>
          <t>S</t>
        </is>
      </c>
      <c r="E37" s="13" t="n">
        <v>0.5</v>
      </c>
      <c r="F37" s="13" t="n">
        <v>0.1</v>
      </c>
      <c r="G37" s="12" t="inlineStr">
        <is>
          <t>Pydantic → frozen dataclass (commit 5c5f1e9).</t>
        </is>
      </c>
      <c r="H37" s="12" t="inlineStr">
        <is>
          <t>—</t>
        </is>
      </c>
    </row>
    <row r="38">
      <c r="A38" s="12" t="inlineStr">
        <is>
          <t>WB12</t>
        </is>
      </c>
      <c r="B38" s="12" t="inlineStr">
        <is>
          <t>GET /admin/sessions/{id} — Session Detail</t>
        </is>
      </c>
      <c r="C38" s="13" t="inlineStr">
        <is>
          <t>🟢 Done</t>
        </is>
      </c>
      <c r="D38" s="13" t="inlineStr">
        <is>
          <t>M</t>
        </is>
      </c>
      <c r="E38" s="13" t="n">
        <v>3</v>
      </c>
      <c r="F38" s="13" t="n">
        <v>0.5</v>
      </c>
      <c r="G38" s="12" t="inlineStr">
        <is>
          <t>Already covered by existing session detail endpoints; W009 page still missing.</t>
        </is>
      </c>
      <c r="H38" s="12" t="inlineStr">
        <is>
          <t>—</t>
        </is>
      </c>
    </row>
    <row r="39">
      <c r="A39" s="19" t="inlineStr">
        <is>
          <t>WB20</t>
        </is>
      </c>
      <c r="B39" s="19" t="inlineStr">
        <is>
          <t>PatientModel + Patient CRUD API</t>
        </is>
      </c>
      <c r="C39" s="20" t="inlineStr">
        <is>
          <t>🟠 Not Started</t>
        </is>
      </c>
      <c r="D39" s="20" t="inlineStr">
        <is>
          <t>L</t>
        </is>
      </c>
      <c r="E39" s="20" t="n">
        <v>10</v>
      </c>
      <c r="F39" s="20" t="n">
        <v>1.5</v>
      </c>
      <c r="G39" s="19" t="inlineStr">
        <is>
          <t>Foundation for all physician workflow.</t>
        </is>
      </c>
      <c r="H39" s="19" t="inlineStr">
        <is>
          <t>B025 Alembic</t>
        </is>
      </c>
    </row>
    <row r="40">
      <c r="A40" s="19" t="inlineStr">
        <is>
          <t>WB21</t>
        </is>
      </c>
      <c r="B40" s="19" t="inlineStr">
        <is>
          <t>AppointmentModel + Schedule API (Day/Week)</t>
        </is>
      </c>
      <c r="C40" s="20" t="inlineStr">
        <is>
          <t>🟠 Not Started</t>
        </is>
      </c>
      <c r="D40" s="20" t="inlineStr">
        <is>
          <t>L</t>
        </is>
      </c>
      <c r="E40" s="20" t="n">
        <v>10</v>
      </c>
      <c r="F40" s="20" t="n">
        <v>1.5</v>
      </c>
      <c r="G40" s="19" t="inlineStr">
        <is>
          <t>Powers W020.</t>
        </is>
      </c>
      <c r="H40" s="19" t="inlineStr">
        <is>
          <t>WB20</t>
        </is>
      </c>
    </row>
    <row r="41">
      <c r="A41" s="19" t="inlineStr">
        <is>
          <t>WB22</t>
        </is>
      </c>
      <c r="B41" s="19" t="inlineStr">
        <is>
          <t>VisitModel + Visit CRUD + 7-state machine</t>
        </is>
      </c>
      <c r="C41" s="20" t="inlineStr">
        <is>
          <t>🟠 Not Started</t>
        </is>
      </c>
      <c r="D41" s="20" t="inlineStr">
        <is>
          <t>L</t>
        </is>
      </c>
      <c r="E41" s="20" t="n">
        <v>11</v>
      </c>
      <c r="F41" s="20" t="n">
        <v>2</v>
      </c>
      <c r="G41" s="19" t="inlineStr">
        <is>
          <t>Server-enforced 'one active visit' concurrency. CORE backend.</t>
        </is>
      </c>
      <c r="H41" s="19" t="inlineStr">
        <is>
          <t>WB20, WB21</t>
        </is>
      </c>
    </row>
    <row r="42">
      <c r="A42" s="19" t="inlineStr">
        <is>
          <t>WB23</t>
        </is>
      </c>
      <c r="B42" s="19" t="inlineStr">
        <is>
          <t>Multi-Provider Continuity API</t>
        </is>
      </c>
      <c r="C42" s="20" t="inlineStr">
        <is>
          <t>🟠 Not Started</t>
        </is>
      </c>
      <c r="D42" s="20" t="inlineStr">
        <is>
          <t>M</t>
        </is>
      </c>
      <c r="E42" s="20" t="n">
        <v>5</v>
      </c>
      <c r="F42" s="20" t="n">
        <v>0.75</v>
      </c>
      <c r="G42" s="19" t="inlineStr">
        <is>
          <t>Nurse/resident observations feed.</t>
        </is>
      </c>
      <c r="H42" s="19" t="inlineStr">
        <is>
          <t>WB22</t>
        </is>
      </c>
    </row>
    <row r="43">
      <c r="A43" s="19" t="inlineStr">
        <is>
          <t>WB24</t>
        </is>
      </c>
      <c r="B43" s="19" t="inlineStr">
        <is>
          <t>Note Approval + Conflict Gating API</t>
        </is>
      </c>
      <c r="C43" s="20" t="inlineStr">
        <is>
          <t>🟠 Not Started</t>
        </is>
      </c>
      <c r="D43" s="20" t="inlineStr">
        <is>
          <t>L</t>
        </is>
      </c>
      <c r="E43" s="20" t="n">
        <v>10</v>
      </c>
      <c r="F43" s="20" t="n">
        <v>1.5</v>
      </c>
      <c r="G43" s="19" t="inlineStr">
        <is>
          <t>Gate approve on unresolved CONFLICTS.</t>
        </is>
      </c>
      <c r="H43" s="19" t="inlineStr">
        <is>
          <t>WB22</t>
        </is>
      </c>
    </row>
    <row r="44">
      <c r="A44" s="19" t="inlineStr">
        <is>
          <t>WB25</t>
        </is>
      </c>
      <c r="B44" s="19" t="inlineStr">
        <is>
          <t>Web-triggered Export API (DOCX + Plain Text)</t>
        </is>
      </c>
      <c r="C44" s="20" t="inlineStr">
        <is>
          <t>🟠 Not Started</t>
        </is>
      </c>
      <c r="D44" s="20" t="inlineStr">
        <is>
          <t>M</t>
        </is>
      </c>
      <c r="E44" s="20" t="n">
        <v>5</v>
      </c>
      <c r="F44" s="20" t="n">
        <v>0.75</v>
      </c>
      <c r="G44" s="19" t="inlineStr">
        <is>
          <t>Web parity with iOS export.</t>
        </is>
      </c>
      <c r="H44" s="19" t="inlineStr">
        <is>
          <t>WB22</t>
        </is>
      </c>
    </row>
    <row r="45">
      <c r="A45" s="14" t="inlineStr">
        <is>
          <t>B029</t>
        </is>
      </c>
      <c r="B45" s="14" t="inlineStr">
        <is>
          <t>Patient + chart (B-01, deferred to web)</t>
        </is>
      </c>
      <c r="C45" s="15" t="inlineStr">
        <is>
          <t>🟣 Future</t>
        </is>
      </c>
      <c r="D45" s="15" t="inlineStr">
        <is>
          <t>L</t>
        </is>
      </c>
      <c r="E45" s="15" t="n">
        <v>8</v>
      </c>
      <c r="F45" s="15" t="n">
        <v>0</v>
      </c>
      <c r="G45" s="14" t="inlineStr">
        <is>
          <t>Subsumed by WB20.</t>
        </is>
      </c>
      <c r="H45" s="14" t="inlineStr">
        <is>
          <t>—</t>
        </is>
      </c>
    </row>
    <row r="46">
      <c r="A46" s="14" t="inlineStr">
        <is>
          <t>B030</t>
        </is>
      </c>
      <c r="B46" s="14" t="inlineStr">
        <is>
          <t>Schedule API (B-02, deferred to web)</t>
        </is>
      </c>
      <c r="C46" s="15" t="inlineStr">
        <is>
          <t>🟣 Future</t>
        </is>
      </c>
      <c r="D46" s="15" t="inlineStr">
        <is>
          <t>L</t>
        </is>
      </c>
      <c r="E46" s="15" t="n">
        <v>8</v>
      </c>
      <c r="F46" s="15" t="n">
        <v>0</v>
      </c>
      <c r="G46" s="14" t="inlineStr">
        <is>
          <t>Subsumed by WB21.</t>
        </is>
      </c>
      <c r="H46" s="14" t="inlineStr">
        <is>
          <t>—</t>
        </is>
      </c>
    </row>
    <row r="47">
      <c r="A47" s="14" t="inlineStr">
        <is>
          <t>WB90</t>
        </is>
      </c>
      <c r="B47" s="14" t="inlineStr">
        <is>
          <t>EMR / FHIR Integration</t>
        </is>
      </c>
      <c r="C47" s="15" t="inlineStr">
        <is>
          <t>🟣 Future</t>
        </is>
      </c>
      <c r="D47" s="15" t="inlineStr">
        <is>
          <t>XL</t>
        </is>
      </c>
      <c r="E47" s="15" t="n">
        <v>15</v>
      </c>
      <c r="F47" s="15" t="n">
        <v>6</v>
      </c>
      <c r="G47" s="14" t="inlineStr">
        <is>
          <t>Post-pilot major workstream.</t>
        </is>
      </c>
      <c r="H47" s="14" t="inlineStr">
        <is>
          <t>FHIR resource mapping</t>
        </is>
      </c>
    </row>
    <row r="48">
      <c r="A48" s="14" t="inlineStr">
        <is>
          <t>WB91</t>
        </is>
      </c>
      <c r="B48" s="14" t="inlineStr">
        <is>
          <t>Billing Workflow API</t>
        </is>
      </c>
      <c r="C48" s="15" t="inlineStr">
        <is>
          <t>🟣 Future</t>
        </is>
      </c>
      <c r="D48" s="15" t="inlineStr">
        <is>
          <t>L</t>
        </is>
      </c>
      <c r="E48" s="15" t="n">
        <v>8</v>
      </c>
      <c r="F48" s="15" t="n">
        <v>3</v>
      </c>
      <c r="G48" s="14" t="inlineStr">
        <is>
          <t>Post-pilot.</t>
        </is>
      </c>
      <c r="H48" s="14" t="inlineStr">
        <is>
          <t>Billing rules + payer integration</t>
        </is>
      </c>
    </row>
    <row r="50">
      <c r="B50" s="3" t="inlineStr">
        <is>
          <t>TOTALS</t>
        </is>
      </c>
      <c r="E50" s="3">
        <f>SUM(E5:E48)</f>
        <v/>
      </c>
      <c r="F50" s="3">
        <f>SUM(F5:F48)</f>
        <v/>
      </c>
    </row>
    <row r="51">
      <c r="B51" s="16" t="inlineStr">
        <is>
          <t>REMAINING (not 🟢 Done, excl. 🟣 Future)</t>
        </is>
      </c>
      <c r="E51" s="3">
        <f>SUMPRODUCT((NOT(ISNUMBER(SEARCH("Done", C5:C48)))) * (NOT(ISNUMBER(SEARCH("Future", C5:C48)))) * E5:E48)</f>
        <v/>
      </c>
      <c r="F51" s="3">
        <f>SUMPRODUCT((NOT(ISNUMBER(SEARCH("Done", C5:C48)))) * (NOT(ISNUMBER(SEARCH("Future", C5:C48)))) * F5:F48)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9" customWidth="1" min="4" max="4"/>
    <col width="16" customWidth="1" min="5" max="5"/>
    <col width="17" customWidth="1" min="6" max="6"/>
    <col width="60" customWidth="1" min="7" max="7"/>
    <col width="30" customWidth="1" min="8" max="8"/>
  </cols>
  <sheetData>
    <row r="1">
      <c r="A1" s="10" t="inlineStr">
        <is>
          <t>INFRASTRUCTURE &amp; AWS</t>
        </is>
      </c>
    </row>
    <row r="2">
      <c r="A2" s="11" t="inlineStr">
        <is>
          <t>Lane: Terraform/AWS · status as-of 2026-05-22</t>
        </is>
      </c>
    </row>
    <row r="4">
      <c r="A4" s="6" t="inlineStr">
        <is>
          <t>ID</t>
        </is>
      </c>
      <c r="B4" s="6" t="inlineStr">
        <is>
          <t>Name / Description</t>
        </is>
      </c>
      <c r="C4" s="6" t="inlineStr">
        <is>
          <t>Status</t>
        </is>
      </c>
      <c r="D4" s="6" t="inlineStr">
        <is>
          <t>S/M/L/XL</t>
        </is>
      </c>
      <c r="E4" s="6" t="inlineStr">
        <is>
          <t>Human-Days (P50)</t>
        </is>
      </c>
      <c r="F4" s="6" t="inlineStr">
        <is>
          <t>Claude-Code-Days</t>
        </is>
      </c>
      <c r="G4" s="6" t="inlineStr">
        <is>
          <t>Notes / Commit</t>
        </is>
      </c>
      <c r="H4" s="6" t="inlineStr">
        <is>
          <t>Pre-requisites</t>
        </is>
      </c>
    </row>
    <row r="5">
      <c r="A5" s="12" t="inlineStr">
        <is>
          <t>M001</t>
        </is>
      </c>
      <c r="B5" s="12" t="inlineStr">
        <is>
          <t>OpenAI Whisper</t>
        </is>
      </c>
      <c r="C5" s="13" t="inlineStr">
        <is>
          <t>🟢 Done</t>
        </is>
      </c>
      <c r="D5" s="13" t="inlineStr">
        <is>
          <t>M</t>
        </is>
      </c>
      <c r="E5" s="13" t="n">
        <v>3</v>
      </c>
      <c r="F5" s="13" t="n">
        <v>0</v>
      </c>
      <c r="G5" s="12" t="inlineStr">
        <is>
          <t>API via Secrets Manager.</t>
        </is>
      </c>
      <c r="H5" s="12" t="inlineStr">
        <is>
          <t>M013</t>
        </is>
      </c>
    </row>
    <row r="6">
      <c r="A6" s="12" t="inlineStr">
        <is>
          <t>M002</t>
        </is>
      </c>
      <c r="B6" s="12" t="inlineStr">
        <is>
          <t>AssemblyAI</t>
        </is>
      </c>
      <c r="C6" s="13" t="inlineStr">
        <is>
          <t>🟢 Done</t>
        </is>
      </c>
      <c r="D6" s="13" t="inlineStr">
        <is>
          <t>M</t>
        </is>
      </c>
      <c r="E6" s="13" t="n">
        <v>3</v>
      </c>
      <c r="F6" s="13" t="n">
        <v>0</v>
      </c>
      <c r="G6" s="12" t="inlineStr">
        <is>
          <t>Selected via AppConfig.</t>
        </is>
      </c>
      <c r="H6" s="12" t="inlineStr">
        <is>
          <t>M013</t>
        </is>
      </c>
    </row>
    <row r="7">
      <c r="A7" s="12" t="inlineStr">
        <is>
          <t>M003</t>
        </is>
      </c>
      <c r="B7" s="12" t="inlineStr">
        <is>
          <t>OpenAI GPT-4o (note gen + Stage 2)</t>
        </is>
      </c>
      <c r="C7" s="13" t="inlineStr">
        <is>
          <t>🟢 Done</t>
        </is>
      </c>
      <c r="D7" s="13" t="inlineStr">
        <is>
          <t>M</t>
        </is>
      </c>
      <c r="E7" s="13" t="n">
        <v>3</v>
      </c>
      <c r="F7" s="13" t="n">
        <v>0</v>
      </c>
      <c r="G7" s="12" t="inlineStr">
        <is>
          <t>Default per docker-compose.</t>
        </is>
      </c>
      <c r="H7" s="12" t="inlineStr">
        <is>
          <t>B015</t>
        </is>
      </c>
    </row>
    <row r="8">
      <c r="A8" s="12" t="inlineStr">
        <is>
          <t>M004</t>
        </is>
      </c>
      <c r="B8" s="12" t="inlineStr">
        <is>
          <t>Anthropic Claude Sonnet 4</t>
        </is>
      </c>
      <c r="C8" s="13" t="inlineStr">
        <is>
          <t>🟢 Done</t>
        </is>
      </c>
      <c r="D8" s="13" t="inlineStr">
        <is>
          <t>M</t>
        </is>
      </c>
      <c r="E8" s="13" t="n">
        <v>3</v>
      </c>
      <c r="F8" s="13" t="n">
        <v>0</v>
      </c>
      <c r="G8" s="12" t="inlineStr">
        <is>
          <t>Note + vision.</t>
        </is>
      </c>
      <c r="H8" s="12" t="inlineStr">
        <is>
          <t>B015, B016</t>
        </is>
      </c>
    </row>
    <row r="9">
      <c r="A9" s="12" t="inlineStr">
        <is>
          <t>M005</t>
        </is>
      </c>
      <c r="B9" s="12" t="inlineStr">
        <is>
          <t>Google Gemini 2.5 Flash</t>
        </is>
      </c>
      <c r="C9" s="13" t="inlineStr">
        <is>
          <t>🟢 Done</t>
        </is>
      </c>
      <c r="D9" s="13" t="inlineStr">
        <is>
          <t>M</t>
        </is>
      </c>
      <c r="E9" s="13" t="n">
        <v>3</v>
      </c>
      <c r="F9" s="13" t="n">
        <v>0</v>
      </c>
      <c r="G9" s="12" t="inlineStr">
        <is>
          <t>Eval comparisons; truncates long JSON.</t>
        </is>
      </c>
      <c r="H9" s="12" t="inlineStr">
        <is>
          <t>B015, B016</t>
        </is>
      </c>
    </row>
    <row r="10">
      <c r="A10" s="12" t="inlineStr">
        <is>
          <t>M006</t>
        </is>
      </c>
      <c r="B10" s="12" t="inlineStr">
        <is>
          <t>AWS S3 (audio/frames/eval/export)</t>
        </is>
      </c>
      <c r="C10" s="13" t="inlineStr">
        <is>
          <t>🟢 Done</t>
        </is>
      </c>
      <c r="D10" s="13" t="inlineStr">
        <is>
          <t>M</t>
        </is>
      </c>
      <c r="E10" s="13" t="n">
        <v>3</v>
      </c>
      <c r="F10" s="13" t="n">
        <v>0</v>
      </c>
      <c r="G10" s="12" t="inlineStr">
        <is>
          <t>KMS-encrypted, public blocked, lifecycle.</t>
        </is>
      </c>
      <c r="H10" s="12" t="inlineStr">
        <is>
          <t>M010 KMS</t>
        </is>
      </c>
    </row>
    <row r="11">
      <c r="A11" s="12" t="inlineStr">
        <is>
          <t>M007</t>
        </is>
      </c>
      <c r="B11" s="12" t="inlineStr">
        <is>
          <t>AWS DynamoDB (audit log)</t>
        </is>
      </c>
      <c r="C11" s="13" t="inlineStr">
        <is>
          <t>🟢 Done</t>
        </is>
      </c>
      <c r="D11" s="13" t="inlineStr">
        <is>
          <t>M</t>
        </is>
      </c>
      <c r="E11" s="13" t="n">
        <v>3</v>
      </c>
      <c r="F11" s="13" t="n">
        <v>0</v>
      </c>
      <c r="G11" s="12" t="inlineStr">
        <is>
          <t>Append-only + PITR + deletion protection.</t>
        </is>
      </c>
      <c r="H11" s="12" t="inlineStr">
        <is>
          <t>—</t>
        </is>
      </c>
    </row>
    <row r="12">
      <c r="A12" s="12" t="inlineStr">
        <is>
          <t>M008</t>
        </is>
      </c>
      <c r="B12" s="12" t="inlineStr">
        <is>
          <t>AWS AppConfig</t>
        </is>
      </c>
      <c r="C12" s="13" t="inlineStr">
        <is>
          <t>🟢 Done</t>
        </is>
      </c>
      <c r="D12" s="13" t="inlineStr">
        <is>
          <t>M</t>
        </is>
      </c>
      <c r="E12" s="13" t="n">
        <v>3</v>
      </c>
      <c r="F12" s="13" t="n">
        <v>0</v>
      </c>
      <c r="G12" s="12" t="inlineStr">
        <is>
          <t>30s polling + schema validation.</t>
        </is>
      </c>
      <c r="H12" s="12" t="inlineStr">
        <is>
          <t>—</t>
        </is>
      </c>
    </row>
    <row r="13">
      <c r="A13" s="12" t="inlineStr">
        <is>
          <t>M009</t>
        </is>
      </c>
      <c r="B13" s="12" t="inlineStr">
        <is>
          <t>AWS Cognito</t>
        </is>
      </c>
      <c r="C13" s="13" t="inlineStr">
        <is>
          <t>🟢 Done</t>
        </is>
      </c>
      <c r="D13" s="13" t="inlineStr">
        <is>
          <t>M</t>
        </is>
      </c>
      <c r="E13" s="13" t="n">
        <v>3</v>
      </c>
      <c r="F13" s="13" t="n">
        <v>0</v>
      </c>
      <c r="G13" s="12" t="inlineStr">
        <is>
          <t>JWT via JWKS.</t>
        </is>
      </c>
      <c r="H13" s="12" t="inlineStr">
        <is>
          <t>B026</t>
        </is>
      </c>
    </row>
    <row r="14">
      <c r="A14" s="12" t="inlineStr">
        <is>
          <t>M010</t>
        </is>
      </c>
      <c r="B14" s="12" t="inlineStr">
        <is>
          <t>AWS KMS</t>
        </is>
      </c>
      <c r="C14" s="13" t="inlineStr">
        <is>
          <t>🟢 Done</t>
        </is>
      </c>
      <c r="D14" s="13" t="inlineStr">
        <is>
          <t>S</t>
        </is>
      </c>
      <c r="E14" s="13" t="n">
        <v>1</v>
      </c>
      <c r="F14" s="13" t="n">
        <v>0</v>
      </c>
      <c r="G14" s="12" t="inlineStr">
        <is>
          <t>All-services encryption.</t>
        </is>
      </c>
      <c r="H14" s="12" t="inlineStr">
        <is>
          <t>—</t>
        </is>
      </c>
    </row>
    <row r="15">
      <c r="A15" s="12" t="inlineStr">
        <is>
          <t>M011</t>
        </is>
      </c>
      <c r="B15" s="12" t="inlineStr">
        <is>
          <t>AWS Textract (screen OCR)</t>
        </is>
      </c>
      <c r="C15" s="13" t="inlineStr">
        <is>
          <t>🟢 Done</t>
        </is>
      </c>
      <c r="D15" s="13" t="inlineStr">
        <is>
          <t>M</t>
        </is>
      </c>
      <c r="E15" s="13" t="n">
        <v>3</v>
      </c>
      <c r="F15" s="13" t="n">
        <v>0</v>
      </c>
      <c r="G15" s="12" t="inlineStr">
        <is>
          <t>On-device redact runs first.</t>
        </is>
      </c>
      <c r="H15" s="12" t="inlineStr">
        <is>
          <t>—</t>
        </is>
      </c>
    </row>
    <row r="16">
      <c r="A16" s="12" t="inlineStr">
        <is>
          <t>M012</t>
        </is>
      </c>
      <c r="B16" s="12" t="inlineStr">
        <is>
          <t>AWS Comprehend Medical (PHI scan)</t>
        </is>
      </c>
      <c r="C16" s="13" t="inlineStr">
        <is>
          <t>🟢 Done</t>
        </is>
      </c>
      <c r="D16" s="13" t="inlineStr">
        <is>
          <t>M</t>
        </is>
      </c>
      <c r="E16" s="13" t="n">
        <v>3</v>
      </c>
      <c r="F16" s="13" t="n">
        <v>0</v>
      </c>
      <c r="G16" s="12" t="inlineStr">
        <is>
          <t>Audit on every hit.</t>
        </is>
      </c>
      <c r="H16" s="12" t="inlineStr">
        <is>
          <t>—</t>
        </is>
      </c>
    </row>
    <row r="17">
      <c r="A17" s="12" t="inlineStr">
        <is>
          <t>M013</t>
        </is>
      </c>
      <c r="B17" s="12" t="inlineStr">
        <is>
          <t>AWS Secrets Manager</t>
        </is>
      </c>
      <c r="C17" s="13" t="inlineStr">
        <is>
          <t>🟢 Done</t>
        </is>
      </c>
      <c r="D17" s="13" t="inlineStr">
        <is>
          <t>S</t>
        </is>
      </c>
      <c r="E17" s="13" t="n">
        <v>1</v>
      </c>
      <c r="F17" s="13" t="n">
        <v>0</v>
      </c>
      <c r="G17" s="12" t="inlineStr">
        <is>
          <t>All AI provider keys.</t>
        </is>
      </c>
      <c r="H17" s="12" t="inlineStr">
        <is>
          <t>—</t>
        </is>
      </c>
    </row>
    <row r="18">
      <c r="A18" s="12" t="inlineStr">
        <is>
          <t>M014</t>
        </is>
      </c>
      <c r="B18" s="12" t="inlineStr">
        <is>
          <t>PostgreSQL (RDS / docker)</t>
        </is>
      </c>
      <c r="C18" s="13" t="inlineStr">
        <is>
          <t>🟢 Done</t>
        </is>
      </c>
      <c r="D18" s="13" t="inlineStr">
        <is>
          <t>M</t>
        </is>
      </c>
      <c r="E18" s="13" t="n">
        <v>3</v>
      </c>
      <c r="F18" s="13" t="n">
        <v>0</v>
      </c>
      <c r="G18" s="12" t="inlineStr">
        <is>
          <t>Encrypted, 30d backup prod, multi-AZ var.</t>
        </is>
      </c>
      <c r="H18" s="12" t="inlineStr">
        <is>
          <t>B025 Alembic</t>
        </is>
      </c>
    </row>
    <row r="19">
      <c r="A19" s="12" t="inlineStr">
        <is>
          <t>M015</t>
        </is>
      </c>
      <c r="B19" s="12" t="inlineStr">
        <is>
          <t>Apple Vision framework (face + OCR)</t>
        </is>
      </c>
      <c r="C19" s="13" t="inlineStr">
        <is>
          <t>🟢 Done</t>
        </is>
      </c>
      <c r="D19" s="13" t="inlineStr">
        <is>
          <t>L</t>
        </is>
      </c>
      <c r="E19" s="13" t="n">
        <v>8</v>
      </c>
      <c r="F19" s="13" t="n">
        <v>0</v>
      </c>
      <c r="G19" s="12" t="inlineStr">
        <is>
          <t>On-device fail-closed masking.</t>
        </is>
      </c>
      <c r="H19" s="12" t="inlineStr">
        <is>
          <t>—</t>
        </is>
      </c>
    </row>
    <row r="20">
      <c r="A20" s="12" t="inlineStr">
        <is>
          <t>M016</t>
        </is>
      </c>
      <c r="B20" s="12" t="inlineStr">
        <is>
          <t>AVFoundation (capture)</t>
        </is>
      </c>
      <c r="C20" s="13" t="inlineStr">
        <is>
          <t>🟢 Done</t>
        </is>
      </c>
      <c r="D20" s="13" t="inlineStr">
        <is>
          <t>L</t>
        </is>
      </c>
      <c r="E20" s="13" t="n">
        <v>8</v>
      </c>
      <c r="F20" s="13" t="n">
        <v>0</v>
      </c>
      <c r="G20" s="12" t="inlineStr">
        <is>
          <t>Mode-aware audio/video.</t>
        </is>
      </c>
      <c r="H20" s="12" t="inlineStr">
        <is>
          <t>—</t>
        </is>
      </c>
    </row>
    <row r="21">
      <c r="A21" s="12" t="inlineStr">
        <is>
          <t>M017</t>
        </is>
      </c>
      <c r="B21" s="12" t="inlineStr">
        <is>
          <t>ReplayKit (screen)</t>
        </is>
      </c>
      <c r="C21" s="13" t="inlineStr">
        <is>
          <t>🟢 Done</t>
        </is>
      </c>
      <c r="D21" s="13" t="inlineStr">
        <is>
          <t>M</t>
        </is>
      </c>
      <c r="E21" s="13" t="n">
        <v>3</v>
      </c>
      <c r="F21" s="13" t="n">
        <v>0</v>
      </c>
      <c r="G21" s="12" t="inlineStr">
        <is>
          <t>Feature-flagged.</t>
        </is>
      </c>
      <c r="H21" s="12" t="inlineStr">
        <is>
          <t>M015</t>
        </is>
      </c>
    </row>
    <row r="22">
      <c r="A22" s="12" t="inlineStr">
        <is>
          <t>M020</t>
        </is>
      </c>
      <c r="B22" s="12" t="inlineStr">
        <is>
          <t>BLE pairing (BLEPairingManager)</t>
        </is>
      </c>
      <c r="C22" s="13" t="inlineStr">
        <is>
          <t>🟢 Done</t>
        </is>
      </c>
      <c r="D22" s="13" t="inlineStr">
        <is>
          <t>M</t>
        </is>
      </c>
      <c r="E22" s="13" t="n">
        <v>3</v>
      </c>
      <c r="F22" s="13" t="n">
        <v>0</v>
      </c>
      <c r="G22" s="12" t="inlineStr">
        <is>
          <t>Stubbed device list works.</t>
        </is>
      </c>
      <c r="H22" s="12" t="inlineStr">
        <is>
          <t>—</t>
        </is>
      </c>
    </row>
    <row r="23">
      <c r="A23" s="12" t="inlineStr">
        <is>
          <t>M021</t>
        </is>
      </c>
      <c r="B23" s="12" t="inlineStr">
        <is>
          <t>WebSocket push (Backend ↔ iOS)</t>
        </is>
      </c>
      <c r="C23" s="13" t="inlineStr">
        <is>
          <t>🟢 Done</t>
        </is>
      </c>
      <c r="D23" s="13" t="inlineStr">
        <is>
          <t>M</t>
        </is>
      </c>
      <c r="E23" s="13" t="n">
        <v>3</v>
      </c>
      <c r="F23" s="13" t="n">
        <v>0</v>
      </c>
      <c r="G23" s="12" t="inlineStr">
        <is>
          <t>JWT-authenticated channel.</t>
        </is>
      </c>
      <c r="H23" s="12" t="inlineStr">
        <is>
          <t>B010</t>
        </is>
      </c>
    </row>
    <row r="24">
      <c r="A24" s="12" t="inlineStr">
        <is>
          <t>M022</t>
        </is>
      </c>
      <c r="B24" s="12" t="inlineStr">
        <is>
          <t>iOS Keychain (auth token + voice embedding)</t>
        </is>
      </c>
      <c r="C24" s="13" t="inlineStr">
        <is>
          <t>🟢 Done</t>
        </is>
      </c>
      <c r="D24" s="13" t="inlineStr">
        <is>
          <t>S</t>
        </is>
      </c>
      <c r="E24" s="13" t="n">
        <v>1</v>
      </c>
      <c r="F24" s="13" t="n">
        <v>0</v>
      </c>
      <c r="G24" s="12" t="inlineStr">
        <is>
          <t>Embedding never transmits.</t>
        </is>
      </c>
      <c r="H24" s="12" t="inlineStr">
        <is>
          <t>—</t>
        </is>
      </c>
    </row>
    <row r="25">
      <c r="A25" s="12" t="inlineStr">
        <is>
          <t>M023</t>
        </is>
      </c>
      <c r="B25" s="12" t="inlineStr">
        <is>
          <t>iOS UserDefaults (crash recovery)</t>
        </is>
      </c>
      <c r="C25" s="13" t="inlineStr">
        <is>
          <t>🟢 Done</t>
        </is>
      </c>
      <c r="D25" s="13" t="inlineStr">
        <is>
          <t>S</t>
        </is>
      </c>
      <c r="E25" s="13" t="n">
        <v>1</v>
      </c>
      <c r="F25" s="13" t="n">
        <v>0</v>
      </c>
      <c r="G25" s="12" t="inlineStr">
        <is>
          <t>M-05 consent metadata persists.</t>
        </is>
      </c>
      <c r="H25" s="12" t="inlineStr">
        <is>
          <t>—</t>
        </is>
      </c>
    </row>
    <row r="26">
      <c r="A26" s="12" t="inlineStr">
        <is>
          <t>M024</t>
        </is>
      </c>
      <c r="B26" s="12" t="inlineStr">
        <is>
          <t>LocalStack (dev infra)</t>
        </is>
      </c>
      <c r="C26" s="13" t="inlineStr">
        <is>
          <t>🟢 Done</t>
        </is>
      </c>
      <c r="D26" s="13" t="inlineStr">
        <is>
          <t>M</t>
        </is>
      </c>
      <c r="E26" s="13" t="n">
        <v>3</v>
      </c>
      <c r="F26" s="13" t="n">
        <v>0</v>
      </c>
      <c r="G26" s="12" t="inlineStr">
        <is>
          <t>S3/DDB/AppConfig/Cognito seed script.</t>
        </is>
      </c>
      <c r="H26" s="12" t="inlineStr">
        <is>
          <t>—</t>
        </is>
      </c>
    </row>
    <row r="27">
      <c r="A27" s="12" t="inlineStr">
        <is>
          <t>M025</t>
        </is>
      </c>
      <c r="B27" s="12" t="inlineStr">
        <is>
          <t>Terraform/HCL (Phase 8)</t>
        </is>
      </c>
      <c r="C27" s="13" t="inlineStr">
        <is>
          <t>🟢 Done</t>
        </is>
      </c>
      <c r="D27" s="13" t="inlineStr">
        <is>
          <t>L</t>
        </is>
      </c>
      <c r="E27" s="13" t="n">
        <v>8</v>
      </c>
      <c r="F27" s="13" t="n">
        <v>0</v>
      </c>
      <c r="G27" s="12" t="inlineStr">
        <is>
          <t>13 .tf files in ca-central-1; remote state + dev/prod tfvars.</t>
        </is>
      </c>
      <c r="H27" s="12" t="inlineStr">
        <is>
          <t>M006–M013</t>
        </is>
      </c>
    </row>
    <row r="28">
      <c r="A28" s="21" t="inlineStr">
        <is>
          <t>WM10</t>
        </is>
      </c>
      <c r="B28" s="21" t="inlineStr">
        <is>
          <t>AWS Amplify — web portal hosting</t>
        </is>
      </c>
      <c r="C28" s="22" t="inlineStr">
        <is>
          <t>🔴 Blocker</t>
        </is>
      </c>
      <c r="D28" s="22" t="inlineStr">
        <is>
          <t>M</t>
        </is>
      </c>
      <c r="E28" s="22" t="n">
        <v>4</v>
      </c>
      <c r="F28" s="22" t="n">
        <v>1</v>
      </c>
      <c r="G28" s="21" t="inlineStr">
        <is>
          <t>No aws_amplify_app in TF. Bundled into Prod Phase 4 work.</t>
        </is>
      </c>
      <c r="H28" s="21" t="inlineStr">
        <is>
          <t>W010</t>
        </is>
      </c>
    </row>
    <row r="30">
      <c r="B30" s="3" t="inlineStr">
        <is>
          <t>TOTALS</t>
        </is>
      </c>
      <c r="E30" s="3">
        <f>SUM(E5:E28)</f>
        <v/>
      </c>
      <c r="F30" s="3">
        <f>SUM(F5:F28)</f>
        <v/>
      </c>
    </row>
    <row r="31">
      <c r="B31" s="16" t="inlineStr">
        <is>
          <t>REMAINING (not 🟢 Done, excl. 🟣 Future)</t>
        </is>
      </c>
      <c r="E31" s="3">
        <f>SUMPRODUCT((NOT(ISNUMBER(SEARCH("Done", C5:C28)))) * (NOT(ISNUMBER(SEARCH("Future", C5:C28)))) * E5:E28)</f>
        <v/>
      </c>
      <c r="F31" s="3">
        <f>SUMPRODUCT((NOT(ISNUMBER(SEARCH("Done", C5:C28)))) * (NOT(ISNUMBER(SEARCH("Future", C5:C28)))) * F5:F28)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9" customWidth="1" min="4" max="4"/>
    <col width="16" customWidth="1" min="5" max="5"/>
    <col width="17" customWidth="1" min="6" max="6"/>
    <col width="60" customWidth="1" min="7" max="7"/>
    <col width="30" customWidth="1" min="8" max="8"/>
  </cols>
  <sheetData>
    <row r="1">
      <c r="A1" s="10" t="inlineStr">
        <is>
          <t>PRODUCTION ROLLOUT (5 phases)</t>
        </is>
      </c>
    </row>
    <row r="2">
      <c r="A2" s="11" t="inlineStr">
        <is>
          <t>Lane: Terraform/CI · status as-of 2026-05-22</t>
        </is>
      </c>
    </row>
    <row r="4">
      <c r="A4" s="6" t="inlineStr">
        <is>
          <t>ID</t>
        </is>
      </c>
      <c r="B4" s="6" t="inlineStr">
        <is>
          <t>Name / Description</t>
        </is>
      </c>
      <c r="C4" s="6" t="inlineStr">
        <is>
          <t>Status</t>
        </is>
      </c>
      <c r="D4" s="6" t="inlineStr">
        <is>
          <t>S/M/L/XL</t>
        </is>
      </c>
      <c r="E4" s="6" t="inlineStr">
        <is>
          <t>Human-Days (P50)</t>
        </is>
      </c>
      <c r="F4" s="6" t="inlineStr">
        <is>
          <t>Claude-Code-Days</t>
        </is>
      </c>
      <c r="G4" s="6" t="inlineStr">
        <is>
          <t>Notes / Commit</t>
        </is>
      </c>
      <c r="H4" s="6" t="inlineStr">
        <is>
          <t>Pre-requisites</t>
        </is>
      </c>
    </row>
    <row r="5">
      <c r="A5" s="12" t="inlineStr">
        <is>
          <t>P1</t>
        </is>
      </c>
      <c r="B5" s="12" t="inlineStr">
        <is>
          <t>Phase 1 — State bootstrap (S3 + DDB + KMS)</t>
        </is>
      </c>
      <c r="C5" s="13" t="inlineStr">
        <is>
          <t>🟢 Done</t>
        </is>
      </c>
      <c r="D5" s="13" t="inlineStr">
        <is>
          <t>S</t>
        </is>
      </c>
      <c r="E5" s="13" t="n">
        <v>0.5</v>
      </c>
      <c r="F5" s="13" t="n">
        <v>0.25</v>
      </c>
      <c r="G5" s="12" t="inlineStr">
        <is>
          <t>bootstrap/ module applied to dev (commit cd40d3d). Account 366034225426.</t>
        </is>
      </c>
      <c r="H5" s="12" t="inlineStr">
        <is>
          <t>—</t>
        </is>
      </c>
    </row>
    <row r="6">
      <c r="A6" s="23" t="inlineStr">
        <is>
          <t>P2</t>
        </is>
      </c>
      <c r="B6" s="23" t="inlineStr">
        <is>
          <t>Phase 2 — TLS + DNS + WAF + SHA-pin</t>
        </is>
      </c>
      <c r="C6" s="24" t="inlineStr">
        <is>
          <t>🔵 In Progress</t>
        </is>
      </c>
      <c r="D6" s="24" t="inlineStr">
        <is>
          <t>M</t>
        </is>
      </c>
      <c r="E6" s="24" t="n">
        <v>1.5</v>
      </c>
      <c r="F6" s="24" t="n">
        <v>1</v>
      </c>
      <c r="G6" s="23" t="inlineStr">
        <is>
          <t>Code shipped (commit 352cc56). Route53 zone created. BLOCKED on Cloudflare DNS choice (A/B/C).</t>
        </is>
      </c>
      <c r="H6" s="23" t="inlineStr">
        <is>
          <t>P1</t>
        </is>
      </c>
    </row>
    <row r="7">
      <c r="A7" s="12" t="inlineStr">
        <is>
          <t>P3</t>
        </is>
      </c>
      <c r="B7" s="12" t="inlineStr">
        <is>
          <t>Phase 3 — GitHub Actions CI/CD with OIDC</t>
        </is>
      </c>
      <c r="C7" s="13" t="inlineStr">
        <is>
          <t>🟢 Done</t>
        </is>
      </c>
      <c r="D7" s="13" t="inlineStr">
        <is>
          <t>M</t>
        </is>
      </c>
      <c r="E7" s="13" t="n">
        <v>1</v>
      </c>
      <c r="F7" s="13" t="n">
        <v>0.5</v>
      </c>
      <c r="G7" s="12" t="inlineStr">
        <is>
          <t>Workflows + IAM OIDC trust shipped (commit 2a0fd11). Awaits secrets after P2 apply.</t>
        </is>
      </c>
      <c r="H7" s="12" t="inlineStr">
        <is>
          <t>P1</t>
        </is>
      </c>
    </row>
    <row r="8">
      <c r="A8" s="19" t="inlineStr">
        <is>
          <t>P4</t>
        </is>
      </c>
      <c r="B8" s="19" t="inlineStr">
        <is>
          <t>Phase 4 — Cognito MFA + SNS + alarms + CloudTrail + Flow Logs + KMS rotation</t>
        </is>
      </c>
      <c r="C8" s="20" t="inlineStr">
        <is>
          <t>🟠 Not Started</t>
        </is>
      </c>
      <c r="D8" s="20" t="inlineStr">
        <is>
          <t>M</t>
        </is>
      </c>
      <c r="E8" s="20" t="n">
        <v>1.5</v>
      </c>
      <c r="F8" s="20" t="n">
        <v>1</v>
      </c>
      <c r="G8" s="19" t="inlineStr">
        <is>
          <t>Includes 5 missing operational alarms, SNS topic, GuardDuty enable.</t>
        </is>
      </c>
      <c r="H8" s="19" t="inlineStr">
        <is>
          <t>P2</t>
        </is>
      </c>
    </row>
    <row r="9">
      <c r="A9" s="19" t="inlineStr">
        <is>
          <t>P5</t>
        </is>
      </c>
      <c r="B9" s="19" t="inlineStr">
        <is>
          <t>Phase 5 — Runbooks + IAM Identity Center + backup-restore drill</t>
        </is>
      </c>
      <c r="C9" s="20" t="inlineStr">
        <is>
          <t>🟠 Not Started</t>
        </is>
      </c>
      <c r="D9" s="20" t="inlineStr">
        <is>
          <t>M</t>
        </is>
      </c>
      <c r="E9" s="20" t="n">
        <v>1</v>
      </c>
      <c r="F9" s="20" t="n">
        <v>1.5</v>
      </c>
      <c r="G9" s="19" t="inlineStr">
        <is>
          <t>Mostly markdown + 1 IAM rework. Pre-pilot human-gated.</t>
        </is>
      </c>
      <c r="H9" s="19" t="inlineStr">
        <is>
          <t>P4</t>
        </is>
      </c>
    </row>
    <row r="11">
      <c r="B11" s="3" t="inlineStr">
        <is>
          <t>TOTALS</t>
        </is>
      </c>
      <c r="E11" s="3">
        <f>SUM(E5:E9)</f>
        <v/>
      </c>
      <c r="F11" s="3">
        <f>SUM(F5:F9)</f>
        <v/>
      </c>
    </row>
    <row r="12">
      <c r="B12" s="16" t="inlineStr">
        <is>
          <t>REMAINING (not 🟢 Done, excl. 🟣 Future)</t>
        </is>
      </c>
      <c r="E12" s="3">
        <f>SUMPRODUCT((NOT(ISNUMBER(SEARCH("Done", C5:C9)))) * (NOT(ISNUMBER(SEARCH("Future", C5:C9)))) * E5:E9)</f>
        <v/>
      </c>
      <c r="F12" s="3">
        <f>SUMPRODUCT((NOT(ISNUMBER(SEARCH("Done", C5:C9)))) * (NOT(ISNUMBER(SEARCH("Future", C5:C9)))) * F5:F9)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9" customWidth="1" min="4" max="4"/>
    <col width="16" customWidth="1" min="5" max="5"/>
    <col width="17" customWidth="1" min="6" max="6"/>
    <col width="60" customWidth="1" min="7" max="7"/>
    <col width="30" customWidth="1" min="8" max="8"/>
  </cols>
  <sheetData>
    <row r="1">
      <c r="A1" s="10" t="inlineStr">
        <is>
          <t>EXTERNAL BLOCKERS (non-engineering)</t>
        </is>
      </c>
    </row>
    <row r="2">
      <c r="A2" s="11" t="inlineStr">
        <is>
          <t>Lane: External · status as-of 2026-05-22</t>
        </is>
      </c>
    </row>
    <row r="4">
      <c r="A4" s="6" t="inlineStr">
        <is>
          <t>ID</t>
        </is>
      </c>
      <c r="B4" s="6" t="inlineStr">
        <is>
          <t>Name / Description</t>
        </is>
      </c>
      <c r="C4" s="6" t="inlineStr">
        <is>
          <t>Status</t>
        </is>
      </c>
      <c r="D4" s="6" t="inlineStr">
        <is>
          <t>S/M/L/XL</t>
        </is>
      </c>
      <c r="E4" s="6" t="inlineStr">
        <is>
          <t>Human-Days (P50)</t>
        </is>
      </c>
      <c r="F4" s="6" t="inlineStr">
        <is>
          <t>Claude-Code-Days</t>
        </is>
      </c>
      <c r="G4" s="6" t="inlineStr">
        <is>
          <t>Notes / Commit</t>
        </is>
      </c>
      <c r="H4" s="6" t="inlineStr">
        <is>
          <t>Pre-requisites</t>
        </is>
      </c>
    </row>
    <row r="5">
      <c r="A5" s="12" t="inlineStr">
        <is>
          <t>EXT-01</t>
        </is>
      </c>
      <c r="B5" s="12" t="inlineStr">
        <is>
          <t>Apple Developer Program activation</t>
        </is>
      </c>
      <c r="C5" s="13" t="inlineStr">
        <is>
          <t>🟢 Done</t>
        </is>
      </c>
      <c r="D5" s="13" t="inlineStr">
        <is>
          <t>—</t>
        </is>
      </c>
      <c r="E5" s="13" t="n">
        <v>0</v>
      </c>
      <c r="F5" s="13" t="n">
        <v>0</v>
      </c>
      <c r="G5" s="12" t="inlineStr">
        <is>
          <t>Active 2026-05-22. Unblocks TestFlight, App IDs, Live Activity push (if added).</t>
        </is>
      </c>
      <c r="H5" s="12" t="inlineStr">
        <is>
          <t>—</t>
        </is>
      </c>
    </row>
    <row r="6">
      <c r="A6" s="21" t="inlineStr">
        <is>
          <t>EXT-02</t>
        </is>
      </c>
      <c r="B6" s="21" t="inlineStr">
        <is>
          <t>Cloudflare DNS delegation decision</t>
        </is>
      </c>
      <c r="C6" s="22" t="inlineStr">
        <is>
          <t>🔴 Blocker</t>
        </is>
      </c>
      <c r="D6" s="22" t="inlineStr">
        <is>
          <t>—</t>
        </is>
      </c>
      <c r="E6" s="22" t="n">
        <v>0</v>
      </c>
      <c r="F6" s="22" t="n">
        <v>0</v>
      </c>
      <c r="G6" s="21" t="inlineStr">
        <is>
          <t>Three paths on the table (manual records / subdomain delegation / Cloudflare TF provider). Recommend subdomain delegation.</t>
        </is>
      </c>
      <c r="H6" s="21" t="inlineStr">
        <is>
          <t>—</t>
        </is>
      </c>
    </row>
    <row r="7">
      <c r="A7" s="19" t="inlineStr">
        <is>
          <t>EXT-03</t>
        </is>
      </c>
      <c r="B7" s="19" t="inlineStr">
        <is>
          <t>First Phase 2 full apply against dev</t>
        </is>
      </c>
      <c r="C7" s="20" t="inlineStr">
        <is>
          <t>🟠 Not Started</t>
        </is>
      </c>
      <c r="D7" s="20" t="inlineStr">
        <is>
          <t>—</t>
        </is>
      </c>
      <c r="E7" s="20" t="n">
        <v>0</v>
      </c>
      <c r="F7" s="20" t="n">
        <v>0</v>
      </c>
      <c r="G7" s="19" t="inlineStr">
        <is>
          <t>~15-20 min compute + ~5 min cert validation post-DNS delegation.</t>
        </is>
      </c>
      <c r="H7" s="19" t="inlineStr">
        <is>
          <t>EXT-02</t>
        </is>
      </c>
    </row>
    <row r="8">
      <c r="A8" s="19" t="inlineStr">
        <is>
          <t>EXT-04</t>
        </is>
      </c>
      <c r="B8" s="19" t="inlineStr">
        <is>
          <t>TestFlight initial build review</t>
        </is>
      </c>
      <c r="C8" s="20" t="inlineStr">
        <is>
          <t>🟠 Not Started</t>
        </is>
      </c>
      <c r="D8" s="20" t="inlineStr">
        <is>
          <t>—</t>
        </is>
      </c>
      <c r="E8" s="20" t="n">
        <v>0</v>
      </c>
      <c r="F8" s="20" t="n">
        <v>0</v>
      </c>
      <c r="G8" s="19" t="inlineStr">
        <is>
          <t>Apple reviews first build before internal testers can install. 24-48h.</t>
        </is>
      </c>
      <c r="H8" s="19" t="inlineStr">
        <is>
          <t>fastlane bootstrap; first iOS push</t>
        </is>
      </c>
    </row>
    <row r="9">
      <c r="A9" s="19" t="inlineStr">
        <is>
          <t>EXT-05</t>
        </is>
      </c>
      <c r="B9" s="19" t="inlineStr">
        <is>
          <t>Cognito MFA enrollment by pilot physicians</t>
        </is>
      </c>
      <c r="C9" s="20" t="inlineStr">
        <is>
          <t>🟠 Not Started</t>
        </is>
      </c>
      <c r="D9" s="20" t="inlineStr">
        <is>
          <t>—</t>
        </is>
      </c>
      <c r="E9" s="20" t="n">
        <v>0</v>
      </c>
      <c r="F9" s="20" t="n">
        <v>0</v>
      </c>
      <c r="G9" s="19" t="inlineStr">
        <is>
          <t>~5 min per physician via Cognito hosted UI.</t>
        </is>
      </c>
      <c r="H9" s="19" t="inlineStr">
        <is>
          <t>P4 (MFA enable)</t>
        </is>
      </c>
    </row>
    <row r="10">
      <c r="A10" s="21" t="inlineStr">
        <is>
          <t>EXT-06</t>
        </is>
      </c>
      <c r="B10" s="21" t="inlineStr">
        <is>
          <t>DPIA + consent forms + clinical safety committee sign-off</t>
        </is>
      </c>
      <c r="C10" s="22" t="inlineStr">
        <is>
          <t>🔴 Blocker</t>
        </is>
      </c>
      <c r="D10" s="22" t="inlineStr">
        <is>
          <t>—</t>
        </is>
      </c>
      <c r="E10" s="22" t="n">
        <v>0</v>
      </c>
      <c r="F10" s="22" t="n">
        <v>0</v>
      </c>
      <c r="G10" s="21" t="inlineStr">
        <is>
          <t>NON-ENGINEERING. 2-4 weeks of calendar depending on pilot site's IRB/QI committee cadence.</t>
        </is>
      </c>
      <c r="H10" s="21" t="inlineStr">
        <is>
          <t>—</t>
        </is>
      </c>
    </row>
    <row r="11">
      <c r="A11" s="21" t="inlineStr">
        <is>
          <t>EXT-07</t>
        </is>
      </c>
      <c r="B11" s="21" t="inlineStr">
        <is>
          <t>Cyber insurance + Business Associate Agreements (if applicable)</t>
        </is>
      </c>
      <c r="C11" s="22" t="inlineStr">
        <is>
          <t>🔴 Blocker</t>
        </is>
      </c>
      <c r="D11" s="22" t="inlineStr">
        <is>
          <t>—</t>
        </is>
      </c>
      <c r="E11" s="22" t="n">
        <v>0</v>
      </c>
      <c r="F11" s="22" t="n">
        <v>0</v>
      </c>
      <c r="G11" s="21" t="inlineStr">
        <is>
          <t>NON-ENGINEERING. Weeks. Required before live PHI.</t>
        </is>
      </c>
      <c r="H11" s="21" t="inlineStr">
        <is>
          <t>—</t>
        </is>
      </c>
    </row>
    <row r="12">
      <c r="A12" s="19" t="inlineStr">
        <is>
          <t>EXT-08</t>
        </is>
      </c>
      <c r="B12" s="19" t="inlineStr">
        <is>
          <t>Pilot consent + recruitment of 3-5 physicians</t>
        </is>
      </c>
      <c r="C12" s="20" t="inlineStr">
        <is>
          <t>🟠 Not Started</t>
        </is>
      </c>
      <c r="D12" s="20" t="inlineStr">
        <is>
          <t>—</t>
        </is>
      </c>
      <c r="E12" s="20" t="n">
        <v>0</v>
      </c>
      <c r="F12" s="20" t="n">
        <v>0</v>
      </c>
      <c r="G12" s="19" t="inlineStr">
        <is>
          <t>Dr. Perry + Dr. Marie confirmed. Other 1-3 pending.</t>
        </is>
      </c>
      <c r="H12" s="19" t="inlineStr">
        <is>
          <t>—</t>
        </is>
      </c>
    </row>
    <row r="14">
      <c r="B14" s="3" t="inlineStr">
        <is>
          <t>TOTALS</t>
        </is>
      </c>
      <c r="E14" s="3">
        <f>SUM(E5:E12)</f>
        <v/>
      </c>
      <c r="F14" s="3">
        <f>SUM(F5:F12)</f>
        <v/>
      </c>
    </row>
    <row r="15">
      <c r="B15" s="16" t="inlineStr">
        <is>
          <t>REMAINING (not 🟢 Done, excl. 🟣 Future)</t>
        </is>
      </c>
      <c r="E15" s="3">
        <f>SUMPRODUCT((NOT(ISNUMBER(SEARCH("Done", C5:C12)))) * (NOT(ISNUMBER(SEARCH("Future", C5:C12)))) * E5:E12)</f>
        <v/>
      </c>
      <c r="F15" s="3">
        <f>SUMPRODUCT((NOT(ISNUMBER(SEARCH("Done", C5:C12)))) * (NOT(ISNUMBER(SEARCH("Future", C5:C12)))) * F5:F12)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2026-05-22T18:16:18Z</dcterms:created>
  <dcterms:modified xmlns:dcterms="http://purl.org/dc/terms/" xmlns:xsi="http://www.w3.org/2001/XMLSchema-instance" xsi:type="dcterms:W3CDTF">2026-05-22T18:16:18Z</dcterms:modified>
</cp:coreProperties>
</file>