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ject Info" sheetId="2" state="visible" r:id="rId4"/>
    <sheet name="Effort Summary" sheetId="3" state="visible" r:id="rId5"/>
    <sheet name="Screens" sheetId="4" state="visible" r:id="rId6"/>
    <sheet name="Backend Services" sheetId="5" state="visible" r:id="rId7"/>
    <sheet name="Microservices &amp; Integr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" authorId="0">
      <text>
        <r>
          <rPr>
            <sz val="10"/>
            <rFont val="Arial"/>
            <family val="2"/>
          </rPr>
          <t xml:space="preserve">S=1d, M=3d, L=8d, XL=15d. Use override column if you need a different number.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e.g. REST API, GraphQL, Worker, Scheduled job, gRPC, Auth service, Gateway</t>
        </r>
      </text>
    </comment>
    <comment ref="M3" authorId="0">
      <text>
        <r>
          <rPr>
            <sz val="10"/>
            <rFont val="Arial"/>
            <family val="2"/>
          </rPr>
          <t xml:space="preserve">S=1d, M=3d, L=8d, XL=15d. Use override column if you need a different number.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e.g. Microservice, Message Queue, Database, Cache, Object Storage, Auth Provider, Email/SMS, Payment Gateway, Analytics, Monitoring, CI/CD</t>
        </r>
      </text>
    </comment>
    <comment ref="N3" authorId="0">
      <text>
        <r>
          <rPr>
            <sz val="10"/>
            <rFont val="Arial"/>
            <family val="2"/>
          </rPr>
          <t xml:space="preserve">S=1d, M=3d, L=8d, XL=15d. Use override column if you need a different number.</t>
        </r>
      </text>
    </comment>
  </commentList>
</comments>
</file>

<file path=xl/sharedStrings.xml><?xml version="1.0" encoding="utf-8"?>
<sst xmlns="http://schemas.openxmlformats.org/spreadsheetml/2006/main" count="201" uniqueCount="169">
  <si>
    <t xml:space="preserve">MVP Solution Architecture &amp; Effort Sizing — Instructions</t>
  </si>
  <si>
    <t xml:space="preserve">Purpose</t>
  </si>
  <si>
    <t xml:space="preserve">This workbook captures the solution architecture for an MVP and produces an effort estimate based on a single developer's inventory. Fill the yellow cells. Green cells calculate automatically. The Effort Summary sheet rolls up totals.</t>
  </si>
  <si>
    <t xml:space="preserve">How to use</t>
  </si>
  <si>
    <t xml:space="preserve">1. Fill the Project Info sheet (project name, dates, demo target).
2. List every Screen on the Screens sheet — purpose, functionality, current vs target state.
3. List every Backend Service / API on the Backend Services sheet.
4. List every Microservice and Integration on the Microservices &amp; Integrations sheet.
5. For each item, set Status and Complexity. Estimated Days auto-fills from Complexity.
6. Override the Estimated Days column manually whenever you have a better number.
7. Review the Effort Summary sheet — it aggregates the entire workbook.</t>
  </si>
  <si>
    <t xml:space="preserve">Color legend</t>
  </si>
  <si>
    <t xml:space="preserve">Yellow</t>
  </si>
  <si>
    <t xml:space="preserve">Input cell — fill this in.</t>
  </si>
  <si>
    <t xml:space="preserve">Green</t>
  </si>
  <si>
    <t xml:space="preserve">Calculated — formula will fill it for you.</t>
  </si>
  <si>
    <t xml:space="preserve">Status values</t>
  </si>
  <si>
    <t xml:space="preserve">Not Started  •  In Progress  •  Blocked  •  Done
Use the dropdown in the Status column.</t>
  </si>
  <si>
    <t xml:space="preserve">Complexity scale</t>
  </si>
  <si>
    <t xml:space="preserve">S  = Small,   ~1 dev-day   (trivial change, simple CRUD endpoint, basic screen)
M  = Medium,  ~3 dev-days  (standard feature with some logic)
L  = Large,   ~8 dev-days  (multi-component feature, non-trivial integration)
XL = X-Large, ~15 dev-days (new service, complex flow, heavy unknowns)
These defaults are conservative for a single developer. Override the Estimated Days column whenever you have a better number from a spike or prior experience.</t>
  </si>
  <si>
    <t xml:space="preserve">Tip</t>
  </si>
  <si>
    <t xml:space="preserve">If a row represents work that is already Done, set Status = Done. Done items are excluded from the 'Remaining' totals on the Effort Summary so you can see exactly how much is left to reach the demo.</t>
  </si>
  <si>
    <t xml:space="preserve">Project Information</t>
  </si>
  <si>
    <t xml:space="preserve">Project / MVP name</t>
  </si>
  <si>
    <t xml:space="preserve">Developer (owner)</t>
  </si>
  <si>
    <t xml:space="preserve">Today's date</t>
  </si>
  <si>
    <t xml:space="preserve">Target demo date</t>
  </si>
  <si>
    <t xml:space="preserve">Working days available</t>
  </si>
  <si>
    <t xml:space="preserve">Demo audience / stakeholder</t>
  </si>
  <si>
    <t xml:space="preserve">Primary business goal</t>
  </si>
  <si>
    <t xml:space="preserve">In-scope for demo (one line)</t>
  </si>
  <si>
    <t xml:space="preserve">Explicitly out-of-scope</t>
  </si>
  <si>
    <t xml:space="preserve">Tech stack (frontend)</t>
  </si>
  <si>
    <t xml:space="preserve">Tech stack (backend)</t>
  </si>
  <si>
    <t xml:space="preserve">Hosting / infra</t>
  </si>
  <si>
    <t xml:space="preserve">Known risks / unknowns</t>
  </si>
  <si>
    <t xml:space="preserve">Current State → Target State (high-level narrative)</t>
  </si>
  <si>
    <t xml:space="preserve">Current state</t>
  </si>
  <si>
    <t xml:space="preserve">Target state for demo</t>
  </si>
  <si>
    <t xml:space="preserve">Gap (what must be built)</t>
  </si>
  <si>
    <t xml:space="preserve">Effort Summary — Rolled Up</t>
  </si>
  <si>
    <t xml:space="preserve">Area</t>
  </si>
  <si>
    <t xml:space="preserve">Items planned</t>
  </si>
  <si>
    <t xml:space="preserve">Items done</t>
  </si>
  <si>
    <t xml:space="preserve">Total effort (days)</t>
  </si>
  <si>
    <t xml:space="preserve">Remaining (days)</t>
  </si>
  <si>
    <t xml:space="preserve">% remaining</t>
  </si>
  <si>
    <t xml:space="preserve">Screens</t>
  </si>
  <si>
    <t xml:space="preserve">Backend Services</t>
  </si>
  <si>
    <t xml:space="preserve">Microservices &amp; Integrations</t>
  </si>
  <si>
    <t xml:space="preserve">GRAND TOTAL</t>
  </si>
  <si>
    <t xml:space="preserve">Calendar conversion</t>
  </si>
  <si>
    <t xml:space="preserve">Buffer / contingency %</t>
  </si>
  <si>
    <t xml:space="preserve">default 20% — edit to your taste</t>
  </si>
  <si>
    <t xml:space="preserve">Productive days / week</t>
  </si>
  <si>
    <t xml:space="preserve">meetings/email eat the rest</t>
  </si>
  <si>
    <t xml:space="preserve">Remaining effort (days)</t>
  </si>
  <si>
    <t xml:space="preserve">With buffer (days)</t>
  </si>
  <si>
    <t xml:space="preserve">Calendar weeks needed</t>
  </si>
  <si>
    <t xml:space="preserve">Note: All numbers on this sheet are formulas pulling from the other tabs. Update the source sheets and these totals update automatically.</t>
  </si>
  <si>
    <t xml:space="preserve">Screens — UI Inventory</t>
  </si>
  <si>
    <t xml:space="preserve">ID</t>
  </si>
  <si>
    <t xml:space="preserve">Screen Name</t>
  </si>
  <si>
    <t xml:space="preserve">User / Role</t>
  </si>
  <si>
    <t xml:space="preserve">Key Functionality (bullets)</t>
  </si>
  <si>
    <t xml:space="preserve">Inputs / Data shown</t>
  </si>
  <si>
    <t xml:space="preserve">Backend services it calls</t>
  </si>
  <si>
    <t xml:space="preserve">Current State</t>
  </si>
  <si>
    <t xml:space="preserve">Target State for Demo</t>
  </si>
  <si>
    <t xml:space="preserve">Priority</t>
  </si>
  <si>
    <t xml:space="preserve">Status</t>
  </si>
  <si>
    <t xml:space="preserve">Complexity</t>
  </si>
  <si>
    <t xml:space="preserve">Estimated Days</t>
  </si>
  <si>
    <t xml:space="preserve">Manual Override (Days)</t>
  </si>
  <si>
    <t xml:space="preserve">Effective Days</t>
  </si>
  <si>
    <t xml:space="preserve">Dependencies</t>
  </si>
  <si>
    <t xml:space="preserve">Risks / Open Questions</t>
  </si>
  <si>
    <t xml:space="preserve">Notes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</si>
  <si>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</si>
  <si>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</si>
  <si>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</si>
  <si>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</si>
  <si>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</si>
  <si>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</si>
  <si>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</si>
  <si>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</si>
  <si>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</si>
  <si>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</si>
  <si>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</si>
  <si>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</si>
  <si>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</si>
  <si>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</si>
  <si>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</si>
  <si>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</si>
  <si>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</si>
  <si>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</si>
  <si>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</si>
  <si>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</si>
  <si>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</si>
  <si>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</si>
  <si>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</si>
  <si>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</si>
  <si>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</si>
  <si>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TOTAL (days)</t>
  </si>
  <si>
    <t xml:space="preserve">REMAINING (days, excl. Done)</t>
  </si>
  <si>
    <t xml:space="preserve">Backend Services &amp; APIs</t>
  </si>
  <si>
    <t xml:space="preserve">Service / Module Name</t>
  </si>
  <si>
    <t xml:space="preserve">Type</t>
  </si>
  <si>
    <t xml:space="preserve">Endpoints / Functions (list)</t>
  </si>
  <si>
    <t xml:space="preserve">Data model / entities</t>
  </si>
  <si>
    <t xml:space="preserve">Data store</t>
  </si>
  <si>
    <t xml:space="preserve">Auth required?</t>
  </si>
  <si>
    <t xml:space="preserve">B001</t>
  </si>
  <si>
    <t xml:space="preserve">B002</t>
  </si>
  <si>
    <t xml:space="preserve">B003</t>
  </si>
  <si>
    <t xml:space="preserve">B004</t>
  </si>
  <si>
    <t xml:space="preserve">B005</t>
  </si>
  <si>
    <t xml:space="preserve">B006</t>
  </si>
  <si>
    <t xml:space="preserve">B007</t>
  </si>
  <si>
    <t xml:space="preserve">B008</t>
  </si>
  <si>
    <t xml:space="preserve">B009</t>
  </si>
  <si>
    <t xml:space="preserve">B010</t>
  </si>
  <si>
    <t xml:space="preserve">B011</t>
  </si>
  <si>
    <t xml:space="preserve">B012</t>
  </si>
  <si>
    <t xml:space="preserve">B013</t>
  </si>
  <si>
    <t xml:space="preserve">B014</t>
  </si>
  <si>
    <t xml:space="preserve">B015</t>
  </si>
  <si>
    <t xml:space="preserve">B016</t>
  </si>
  <si>
    <t xml:space="preserve">B017</t>
  </si>
  <si>
    <t xml:space="preserve">B018</t>
  </si>
  <si>
    <t xml:space="preserve">B019</t>
  </si>
  <si>
    <t xml:space="preserve">B020</t>
  </si>
  <si>
    <t xml:space="preserve">B021</t>
  </si>
  <si>
    <t xml:space="preserve">B022</t>
  </si>
  <si>
    <t xml:space="preserve">B023</t>
  </si>
  <si>
    <t xml:space="preserve">B024</t>
  </si>
  <si>
    <t xml:space="preserve">B025</t>
  </si>
  <si>
    <t xml:space="preserve">B026</t>
  </si>
  <si>
    <t xml:space="preserve">B027</t>
  </si>
  <si>
    <t xml:space="preserve">B028</t>
  </si>
  <si>
    <t xml:space="preserve">B029</t>
  </si>
  <si>
    <t xml:space="preserve">B030</t>
  </si>
  <si>
    <t xml:space="preserve">Microservices, Wiring &amp; Integrations</t>
  </si>
  <si>
    <t xml:space="preserve">Component / Integration Name</t>
  </si>
  <si>
    <t xml:space="preserve">Kind</t>
  </si>
  <si>
    <t xml:space="preserve">From (consumer)</t>
  </si>
  <si>
    <t xml:space="preserve">To (provider)</t>
  </si>
  <si>
    <t xml:space="preserve">Protocol / Transport</t>
  </si>
  <si>
    <t xml:space="preserve">External? (3rd party)</t>
  </si>
  <si>
    <t xml:space="preserve">Auth / Secrets needed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</si>
  <si>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</si>
  <si>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</si>
  <si>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</si>
  <si>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</si>
  <si>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</si>
  <si>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</si>
  <si>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</si>
  <si>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M008</t>
  </si>
  <si>
    <t xml:space="preserve">M009</t>
  </si>
  <si>
    <t xml:space="preserve">M010</t>
  </si>
  <si>
    <t xml:space="preserve">M011</t>
  </si>
  <si>
    <t xml:space="preserve">M012</t>
  </si>
  <si>
    <t xml:space="preserve">M013</t>
  </si>
  <si>
    <t xml:space="preserve">M014</t>
  </si>
  <si>
    <t xml:space="preserve">M015</t>
  </si>
  <si>
    <t xml:space="preserve">M016</t>
  </si>
  <si>
    <t xml:space="preserve">M017</t>
  </si>
  <si>
    <t xml:space="preserve">M018</t>
  </si>
  <si>
    <t xml:space="preserve">M019</t>
  </si>
  <si>
    <t xml:space="preserve">M020</t>
  </si>
  <si>
    <t xml:space="preserve">M021</t>
  </si>
  <si>
    <t xml:space="preserve">M022</t>
  </si>
  <si>
    <t xml:space="preserve">M023</t>
  </si>
  <si>
    <t xml:space="preserve">M024</t>
  </si>
  <si>
    <t xml:space="preserve">M025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</si>
</sst>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75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7.5" hidden="false" customHeight="true" outlineLevel="0" collapsed="false"/>
    <row r="3" customFormat="false" ht="60" hidden="false" customHeight="true" outlineLevel="0" collapsed="false">
      <c r="B3" s="2" t="s">
        <v>1</v>
      </c>
      <c r="C3" s="3" t="s">
        <v>2</v>
      </c>
    </row>
    <row r="4" customFormat="false" ht="139.5" hidden="false" customHeight="tru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4"/>
    </row>
    <row r="6" customFormat="false" ht="15" hidden="false" customHeight="false" outlineLevel="0" collapsed="false">
      <c r="B6" s="5" t="s">
        <v>6</v>
      </c>
      <c r="C6" s="6" t="s">
        <v>7</v>
      </c>
    </row>
    <row r="7" customFormat="false" ht="15" hidden="false" customHeight="false" outlineLevel="0" collapsed="false">
      <c r="B7" s="7" t="s">
        <v>8</v>
      </c>
      <c r="C7" s="6" t="s">
        <v>9</v>
      </c>
    </row>
    <row r="9" customFormat="false" ht="39.75" hidden="false" customHeight="true" outlineLevel="0" collapsed="false">
      <c r="B9" s="2" t="s">
        <v>10</v>
      </c>
      <c r="C9" s="3" t="s">
        <v>11</v>
      </c>
    </row>
    <row r="10" customFormat="false" ht="120" hidden="false" customHeight="true" outlineLevel="0" collapsed="false">
      <c r="B10" s="2" t="s">
        <v>12</v>
      </c>
      <c r="C10" s="3" t="s">
        <v>13</v>
      </c>
    </row>
    <row r="12" customFormat="false" ht="60" hidden="false" customHeight="true" outlineLevel="0" collapsed="false">
      <c r="B12" s="2" t="s">
        <v>14</v>
      </c>
      <c r="C12" s="3" t="s">
        <v>15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1" t="s">
        <v>16</v>
      </c>
      <c r="B1" s="1"/>
      <c r="C1" s="1"/>
    </row>
    <row r="2" customFormat="false" ht="7.5" hidden="false" customHeight="true" outlineLevel="0" collapsed="false"/>
    <row r="3" customFormat="false" ht="27.75" hidden="false" customHeight="true" outlineLevel="0" collapsed="false">
      <c r="B3" s="8" t="s">
        <v>17</v>
      </c>
      <c r="C3" s="9"/>
    </row>
    <row r="4" customFormat="false" ht="27.75" hidden="false" customHeight="true" outlineLevel="0" collapsed="false">
      <c r="B4" s="8" t="s">
        <v>18</v>
      </c>
      <c r="C4" s="9"/>
    </row>
    <row r="5" customFormat="false" ht="27.75" hidden="false" customHeight="true" outlineLevel="0" collapsed="false">
      <c r="B5" s="8" t="s">
        <v>19</v>
      </c>
      <c r="C5" s="9"/>
    </row>
    <row r="6" customFormat="false" ht="27.75" hidden="false" customHeight="true" outlineLevel="0" collapsed="false">
      <c r="B6" s="8" t="s">
        <v>20</v>
      </c>
      <c r="C6" s="9"/>
    </row>
    <row r="7" customFormat="false" ht="27.75" hidden="false" customHeight="true" outlineLevel="0" collapsed="false">
      <c r="B7" s="8" t="s">
        <v>21</v>
      </c>
      <c r="C7" s="9"/>
    </row>
    <row r="8" customFormat="false" ht="27.75" hidden="false" customHeight="true" outlineLevel="0" collapsed="false">
      <c r="B8" s="8" t="s">
        <v>22</v>
      </c>
      <c r="C8" s="9"/>
    </row>
    <row r="9" customFormat="false" ht="27.75" hidden="false" customHeight="true" outlineLevel="0" collapsed="false">
      <c r="B9" s="8" t="s">
        <v>23</v>
      </c>
      <c r="C9" s="9"/>
    </row>
    <row r="10" customFormat="false" ht="27.75" hidden="false" customHeight="true" outlineLevel="0" collapsed="false">
      <c r="B10" s="8" t="s">
        <v>24</v>
      </c>
      <c r="C10" s="9"/>
    </row>
    <row r="11" customFormat="false" ht="27.75" hidden="false" customHeight="true" outlineLevel="0" collapsed="false">
      <c r="B11" s="8" t="s">
        <v>25</v>
      </c>
      <c r="C11" s="9"/>
    </row>
    <row r="12" customFormat="false" ht="27.75" hidden="false" customHeight="true" outlineLevel="0" collapsed="false">
      <c r="B12" s="8" t="s">
        <v>26</v>
      </c>
      <c r="C12" s="9"/>
    </row>
    <row r="13" customFormat="false" ht="27.75" hidden="false" customHeight="true" outlineLevel="0" collapsed="false">
      <c r="B13" s="8" t="s">
        <v>27</v>
      </c>
      <c r="C13" s="9"/>
    </row>
    <row r="14" customFormat="false" ht="27.75" hidden="false" customHeight="true" outlineLevel="0" collapsed="false">
      <c r="B14" s="8" t="s">
        <v>28</v>
      </c>
      <c r="C14" s="9"/>
    </row>
    <row r="15" customFormat="false" ht="27.75" hidden="false" customHeight="true" outlineLevel="0" collapsed="false">
      <c r="B15" s="8" t="s">
        <v>29</v>
      </c>
      <c r="C15" s="9"/>
    </row>
    <row r="17" customFormat="false" ht="25.5" hidden="false" customHeight="true" outlineLevel="0" collapsed="false">
      <c r="A17" s="10" t="s">
        <v>30</v>
      </c>
      <c r="B17" s="10"/>
      <c r="C17" s="10"/>
    </row>
    <row r="18" customFormat="false" ht="99.75" hidden="false" customHeight="true" outlineLevel="0" collapsed="false">
      <c r="B18" s="11" t="s">
        <v>31</v>
      </c>
      <c r="C18" s="9"/>
    </row>
    <row r="19" customFormat="false" ht="99.75" hidden="false" customHeight="true" outlineLevel="0" collapsed="false">
      <c r="B19" s="11" t="s">
        <v>32</v>
      </c>
      <c r="C19" s="9"/>
    </row>
    <row r="20" customFormat="false" ht="99.75" hidden="false" customHeight="true" outlineLevel="0" collapsed="false">
      <c r="B20" s="11" t="s">
        <v>33</v>
      </c>
      <c r="C20" s="9"/>
    </row>
  </sheetData>
  <mergeCells count="2">
    <mergeCell ref="A1:C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6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34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30" hidden="false" customHeight="true" outlineLevel="0" collapsed="false">
      <c r="A3" s="12" t="s">
        <v>35</v>
      </c>
      <c r="B3" s="12" t="s">
        <v>36</v>
      </c>
      <c r="C3" s="12" t="s">
        <v>37</v>
      </c>
      <c r="D3" s="12" t="s">
        <v>38</v>
      </c>
      <c r="E3" s="12" t="s">
        <v>39</v>
      </c>
      <c r="F3" s="12" t="s">
        <v>40</v>
      </c>
      <c r="G3" s="12" t="s">
        <v>40</v>
      </c>
    </row>
    <row r="4" customFormat="false" ht="25.5" hidden="false" customHeight="true" outlineLevel="0" collapsed="false">
      <c r="B4" s="8" t="s">
        <v>41</v>
      </c>
      <c r="C4" s="13" t="n">
        <f aca="false">COUNTA(Screens!B4:B28)</f>
        <v>0</v>
      </c>
      <c r="D4" s="13" t="n">
        <f aca="false">COUNTIF(Screens!K4:K28,"Done")</f>
        <v>0</v>
      </c>
      <c r="E4" s="13" t="n">
        <f aca="false">Screens!O30</f>
        <v>0</v>
      </c>
      <c r="F4" s="13" t="n">
        <f aca="false">Screens!O31</f>
        <v>0</v>
      </c>
      <c r="G4" s="14" t="n">
        <f aca="false">IF(E4=0,0,F4/E4)</f>
        <v>0</v>
      </c>
    </row>
    <row r="5" customFormat="false" ht="25.5" hidden="false" customHeight="true" outlineLevel="0" collapsed="false">
      <c r="B5" s="8" t="s">
        <v>42</v>
      </c>
      <c r="C5" s="13" t="n">
        <f aca="false">COUNTA('Backend Services'!B4:B33)</f>
        <v>0</v>
      </c>
      <c r="D5" s="13" t="n">
        <f aca="false">COUNTIF('Backend Services'!L4:L33,"Done")</f>
        <v>0</v>
      </c>
      <c r="E5" s="13" t="n">
        <f aca="false">'Backend Services'!P35</f>
        <v>0</v>
      </c>
      <c r="F5" s="13" t="n">
        <f aca="false">'Backend Services'!P36</f>
        <v>0</v>
      </c>
      <c r="G5" s="14" t="n">
        <f aca="false">IF(E5=0,0,F5/E5)</f>
        <v>0</v>
      </c>
    </row>
    <row r="6" customFormat="false" ht="25.5" hidden="false" customHeight="true" outlineLevel="0" collapsed="false">
      <c r="B6" s="8" t="s">
        <v>43</v>
      </c>
      <c r="C6" s="13" t="n">
        <f aca="false">COUNTA('Microservices &amp; Integrations'!B4:B28)</f>
        <v>0</v>
      </c>
      <c r="D6" s="13" t="n">
        <f aca="false">COUNTIF('Microservices &amp; Integrations'!M4:M28,"Done")</f>
        <v>0</v>
      </c>
      <c r="E6" s="13" t="n">
        <f aca="false">'Microservices &amp; Integrations'!Q30</f>
        <v>0</v>
      </c>
      <c r="F6" s="13" t="n">
        <f aca="false">'Microservices &amp; Integrations'!Q31</f>
        <v>0</v>
      </c>
      <c r="G6" s="14" t="n">
        <f aca="false">IF(E6=0,0,F6/E6)</f>
        <v>0</v>
      </c>
    </row>
    <row r="8" customFormat="false" ht="30" hidden="false" customHeight="true" outlineLevel="0" collapsed="false">
      <c r="B8" s="15" t="s">
        <v>44</v>
      </c>
      <c r="C8" s="16" t="n">
        <f aca="false">SUM(C4:C6)</f>
        <v>0</v>
      </c>
      <c r="D8" s="16" t="n">
        <f aca="false">SUM(D4:D6)</f>
        <v>0</v>
      </c>
      <c r="E8" s="16" t="n">
        <f aca="false">SUM(E4:E6)</f>
        <v>0</v>
      </c>
      <c r="F8" s="16" t="n">
        <f aca="false">SUM(F4:F6)</f>
        <v>0</v>
      </c>
      <c r="G8" s="17" t="n">
        <f aca="false">IF(E8=0,0,F8/E8)</f>
        <v>0</v>
      </c>
    </row>
    <row r="10" customFormat="false" ht="24" hidden="false" customHeight="true" outlineLevel="0" collapsed="false">
      <c r="A10" s="10" t="s">
        <v>45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B11" s="8" t="s">
        <v>46</v>
      </c>
      <c r="C11" s="18" t="n">
        <v>0.2</v>
      </c>
      <c r="D11" s="19" t="s">
        <v>47</v>
      </c>
    </row>
    <row r="12" customFormat="false" ht="15" hidden="false" customHeight="false" outlineLevel="0" collapsed="false">
      <c r="B12" s="8" t="s">
        <v>48</v>
      </c>
      <c r="C12" s="20" t="n">
        <v>4</v>
      </c>
      <c r="D12" s="19" t="s">
        <v>49</v>
      </c>
    </row>
    <row r="14" customFormat="false" ht="15" hidden="false" customHeight="false" outlineLevel="0" collapsed="false">
      <c r="B14" s="8" t="s">
        <v>50</v>
      </c>
      <c r="C14" s="13" t="n">
        <f aca="false">F8</f>
        <v>0</v>
      </c>
    </row>
    <row r="15" customFormat="false" ht="15" hidden="false" customHeight="false" outlineLevel="0" collapsed="false">
      <c r="B15" s="8" t="s">
        <v>51</v>
      </c>
      <c r="C15" s="21" t="n">
        <f aca="false">C14*(1+C11)</f>
        <v>0</v>
      </c>
    </row>
    <row r="16" customFormat="false" ht="15" hidden="false" customHeight="false" outlineLevel="0" collapsed="false">
      <c r="B16" s="22" t="s">
        <v>52</v>
      </c>
      <c r="C16" s="23" t="n">
        <f aca="false">IF(C12=0,0,C15/C12)</f>
        <v>0</v>
      </c>
    </row>
    <row r="18" customFormat="false" ht="15" hidden="false" customHeight="true" outlineLevel="0" collapsed="false">
      <c r="B18" s="24" t="s">
        <v>53</v>
      </c>
      <c r="C18" s="24"/>
      <c r="D18" s="24"/>
      <c r="E18" s="24"/>
      <c r="F18" s="24"/>
      <c r="G18" s="24"/>
    </row>
  </sheetData>
  <mergeCells count="3">
    <mergeCell ref="A1:F1"/>
    <mergeCell ref="A10:F10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26"/>
    <col collapsed="false" customWidth="true" hidden="false" outlineLevel="0" max="9" min="8" style="0" width="30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24"/>
    <col collapsed="false" customWidth="true" hidden="false" outlineLevel="0" max="18" min="17" style="0" width="28"/>
  </cols>
  <sheetData>
    <row r="1" customFormat="false" ht="31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7.5" hidden="false" customHeight="true" outlineLevel="0" collapsed="false"/>
    <row r="3" customFormat="false" ht="31.5" hidden="false" customHeight="true" outlineLevel="0" collapsed="false">
      <c r="A3" s="12" t="s">
        <v>55</v>
      </c>
      <c r="B3" s="12" t="s">
        <v>56</v>
      </c>
      <c r="C3" s="12" t="s">
        <v>57</v>
      </c>
      <c r="D3" s="12" t="s">
        <v>1</v>
      </c>
      <c r="E3" s="12" t="s">
        <v>58</v>
      </c>
      <c r="F3" s="12" t="s">
        <v>59</v>
      </c>
      <c r="G3" s="12" t="s">
        <v>60</v>
      </c>
      <c r="H3" s="12" t="s">
        <v>61</v>
      </c>
      <c r="I3" s="12" t="s">
        <v>62</v>
      </c>
      <c r="J3" s="12" t="s">
        <v>63</v>
      </c>
      <c r="K3" s="12" t="s">
        <v>64</v>
      </c>
      <c r="L3" s="12" t="s">
        <v>65</v>
      </c>
      <c r="M3" s="12" t="s">
        <v>66</v>
      </c>
      <c r="N3" s="12" t="s">
        <v>67</v>
      </c>
      <c r="O3" s="12" t="s">
        <v>68</v>
      </c>
      <c r="P3" s="12" t="s">
        <v>69</v>
      </c>
      <c r="Q3" s="12" t="s">
        <v>70</v>
      </c>
      <c r="R3" s="12" t="s">
        <v>71</v>
      </c>
    </row>
    <row r="4" customFormat="false" ht="48" hidden="false" customHeight="true" outlineLevel="0" collapsed="false">
      <c r="A4" s="13" t="s">
        <v>72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3" t="n">
        <f aca="false">IF(L4="S",1,IF(L4="M",3,IF(L4="L",8,IF(L4="XL",15,0))))</f>
        <v>0</v>
      </c>
      <c r="N4" s="20"/>
      <c r="O4" s="13" t="n">
        <f aca="false">IF(ISNUMBER(N4),N4,IF(ISNUMBER(M4),M4,0))</f>
        <v>0</v>
      </c>
      <c r="P4" s="9"/>
      <c r="Q4" s="9"/>
      <c r="R4" s="9"/>
    </row>
    <row r="5" customFormat="false" ht="48" hidden="false" customHeight="true" outlineLevel="0" collapsed="false">
      <c r="A5" s="13" t="s">
        <v>73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3" t="n">
        <f aca="false">IF(L5="S",1,IF(L5="M",3,IF(L5="L",8,IF(L5="XL",15,0))))</f>
        <v>0</v>
      </c>
      <c r="N5" s="20"/>
      <c r="O5" s="13" t="n">
        <f aca="false">IF(ISNUMBER(N5),N5,IF(ISNUMBER(M5),M5,0))</f>
        <v>0</v>
      </c>
      <c r="P5" s="9"/>
      <c r="Q5" s="9"/>
      <c r="R5" s="9"/>
    </row>
    <row r="6" customFormat="false" ht="48" hidden="false" customHeight="true" outlineLevel="0" collapsed="false">
      <c r="A6" s="13" t="s">
        <v>74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3" t="n">
        <f aca="false">IF(L6="S",1,IF(L6="M",3,IF(L6="L",8,IF(L6="XL",15,0))))</f>
        <v>0</v>
      </c>
      <c r="N6" s="20"/>
      <c r="O6" s="13" t="n">
        <f aca="false">IF(ISNUMBER(N6),N6,IF(ISNUMBER(M6),M6,0))</f>
        <v>0</v>
      </c>
      <c r="P6" s="9"/>
      <c r="Q6" s="9"/>
      <c r="R6" s="9"/>
    </row>
    <row r="7" customFormat="false" ht="48" hidden="false" customHeight="true" outlineLevel="0" collapsed="false">
      <c r="A7" s="13" t="s">
        <v>75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3" t="n">
        <f aca="false">IF(L7="S",1,IF(L7="M",3,IF(L7="L",8,IF(L7="XL",15,0))))</f>
        <v>0</v>
      </c>
      <c r="N7" s="20"/>
      <c r="O7" s="13" t="n">
        <f aca="false">IF(ISNUMBER(N7),N7,IF(ISNUMBER(M7),M7,0))</f>
        <v>0</v>
      </c>
      <c r="P7" s="9"/>
      <c r="Q7" s="9"/>
      <c r="R7" s="9"/>
    </row>
    <row r="8" customFormat="false" ht="48" hidden="false" customHeight="true" outlineLevel="0" collapsed="false">
      <c r="A8" s="13" t="s">
        <v>76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3" t="n">
        <f aca="false">IF(L8="S",1,IF(L8="M",3,IF(L8="L",8,IF(L8="XL",15,0))))</f>
        <v>0</v>
      </c>
      <c r="N8" s="20"/>
      <c r="O8" s="13" t="n">
        <f aca="false">IF(ISNUMBER(N8),N8,IF(ISNUMBER(M8),M8,0))</f>
        <v>0</v>
      </c>
      <c r="P8" s="9"/>
      <c r="Q8" s="9"/>
      <c r="R8" s="9"/>
    </row>
    <row r="9" customFormat="false" ht="48" hidden="false" customHeight="true" outlineLevel="0" collapsed="false">
      <c r="A9" s="13" t="s">
        <v>77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3" t="n">
        <f aca="false">IF(L9="S",1,IF(L9="M",3,IF(L9="L",8,IF(L9="XL",15,0))))</f>
        <v>0</v>
      </c>
      <c r="N9" s="20"/>
      <c r="O9" s="13" t="n">
        <f aca="false">IF(ISNUMBER(N9),N9,IF(ISNUMBER(M9),M9,0))</f>
        <v>0</v>
      </c>
      <c r="P9" s="9"/>
      <c r="Q9" s="9"/>
      <c r="R9" s="9"/>
    </row>
    <row r="10" customFormat="false" ht="48" hidden="false" customHeight="true" outlineLevel="0" collapsed="false">
      <c r="A10" s="13" t="s">
        <v>78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3" t="n">
        <f aca="false">IF(L10="S",1,IF(L10="M",3,IF(L10="L",8,IF(L10="XL",15,0))))</f>
        <v>0</v>
      </c>
      <c r="N10" s="20"/>
      <c r="O10" s="13" t="n">
        <f aca="false">IF(ISNUMBER(N10),N10,IF(ISNUMBER(M10),M10,0))</f>
        <v>0</v>
      </c>
      <c r="P10" s="9"/>
      <c r="Q10" s="9"/>
      <c r="R10" s="9"/>
    </row>
    <row r="11" customFormat="false" ht="48" hidden="false" customHeight="true" outlineLevel="0" collapsed="false">
      <c r="A11" s="13" t="s">
        <v>79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3" t="n">
        <f aca="false">IF(L11="S",1,IF(L11="M",3,IF(L11="L",8,IF(L11="XL",15,0))))</f>
        <v>0</v>
      </c>
      <c r="N11" s="20"/>
      <c r="O11" s="13" t="n">
        <f aca="false">IF(ISNUMBER(N11),N11,IF(ISNUMBER(M11),M11,0))</f>
        <v>0</v>
      </c>
      <c r="P11" s="9"/>
      <c r="Q11" s="9"/>
      <c r="R11" s="9"/>
    </row>
    <row r="12" customFormat="false" ht="48" hidden="false" customHeight="true" outlineLevel="0" collapsed="false">
      <c r="A12" s="13" t="s">
        <v>80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3" t="n">
        <f aca="false">IF(L12="S",1,IF(L12="M",3,IF(L12="L",8,IF(L12="XL",15,0))))</f>
        <v>0</v>
      </c>
      <c r="N12" s="20"/>
      <c r="O12" s="13" t="n">
        <f aca="false">IF(ISNUMBER(N12),N12,IF(ISNUMBER(M12),M12,0))</f>
        <v>0</v>
      </c>
      <c r="P12" s="9"/>
      <c r="Q12" s="9"/>
      <c r="R12" s="9"/>
    </row>
    <row r="13" customFormat="false" ht="48" hidden="false" customHeight="true" outlineLevel="0" collapsed="false">
      <c r="A13" s="13" t="s">
        <v>81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3" t="n">
        <f aca="false">IF(L13="S",1,IF(L13="M",3,IF(L13="L",8,IF(L13="XL",15,0))))</f>
        <v>0</v>
      </c>
      <c r="N13" s="20"/>
      <c r="O13" s="13" t="n">
        <f aca="false">IF(ISNUMBER(N13),N13,IF(ISNUMBER(M13),M13,0))</f>
        <v>0</v>
      </c>
      <c r="P13" s="9"/>
      <c r="Q13" s="9"/>
      <c r="R13" s="9"/>
    </row>
    <row r="14" customFormat="false" ht="48" hidden="false" customHeight="true" outlineLevel="0" collapsed="false">
      <c r="A14" s="13" t="s">
        <v>82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3" t="n">
        <f aca="false">IF(L14="S",1,IF(L14="M",3,IF(L14="L",8,IF(L14="XL",15,0))))</f>
        <v>0</v>
      </c>
      <c r="N14" s="20"/>
      <c r="O14" s="13" t="n">
        <f aca="false">IF(ISNUMBER(N14),N14,IF(ISNUMBER(M14),M14,0))</f>
        <v>0</v>
      </c>
      <c r="P14" s="9"/>
      <c r="Q14" s="9"/>
      <c r="R14" s="9"/>
    </row>
    <row r="15" customFormat="false" ht="48" hidden="false" customHeight="true" outlineLevel="0" collapsed="false">
      <c r="A15" s="13" t="s">
        <v>83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3" t="n">
        <f aca="false">IF(L15="S",1,IF(L15="M",3,IF(L15="L",8,IF(L15="XL",15,0))))</f>
        <v>0</v>
      </c>
      <c r="N15" s="20"/>
      <c r="O15" s="13" t="n">
        <f aca="false">IF(ISNUMBER(N15),N15,IF(ISNUMBER(M15),M15,0))</f>
        <v>0</v>
      </c>
      <c r="P15" s="9"/>
      <c r="Q15" s="9"/>
      <c r="R15" s="9"/>
    </row>
    <row r="16" customFormat="false" ht="48" hidden="false" customHeight="true" outlineLevel="0" collapsed="false">
      <c r="A16" s="13" t="s">
        <v>84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3" t="n">
        <f aca="false">IF(L16="S",1,IF(L16="M",3,IF(L16="L",8,IF(L16="XL",15,0))))</f>
        <v>0</v>
      </c>
      <c r="N16" s="20"/>
      <c r="O16" s="13" t="n">
        <f aca="false">IF(ISNUMBER(N16),N16,IF(ISNUMBER(M16),M16,0))</f>
        <v>0</v>
      </c>
      <c r="P16" s="9"/>
      <c r="Q16" s="9"/>
      <c r="R16" s="9"/>
    </row>
    <row r="17" customFormat="false" ht="48" hidden="false" customHeight="true" outlineLevel="0" collapsed="false">
      <c r="A17" s="13" t="s">
        <v>85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3" t="n">
        <f aca="false">IF(L17="S",1,IF(L17="M",3,IF(L17="L",8,IF(L17="XL",15,0))))</f>
        <v>0</v>
      </c>
      <c r="N17" s="20"/>
      <c r="O17" s="13" t="n">
        <f aca="false">IF(ISNUMBER(N17),N17,IF(ISNUMBER(M17),M17,0))</f>
        <v>0</v>
      </c>
      <c r="P17" s="9"/>
      <c r="Q17" s="9"/>
      <c r="R17" s="9"/>
    </row>
    <row r="18" customFormat="false" ht="48" hidden="false" customHeight="true" outlineLevel="0" collapsed="false">
      <c r="A18" s="13" t="s">
        <v>86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3" t="n">
        <f aca="false">IF(L18="S",1,IF(L18="M",3,IF(L18="L",8,IF(L18="XL",15,0))))</f>
        <v>0</v>
      </c>
      <c r="N18" s="20"/>
      <c r="O18" s="13" t="n">
        <f aca="false">IF(ISNUMBER(N18),N18,IF(ISNUMBER(M18),M18,0))</f>
        <v>0</v>
      </c>
      <c r="P18" s="9"/>
      <c r="Q18" s="9"/>
      <c r="R18" s="9"/>
    </row>
    <row r="19" customFormat="false" ht="48" hidden="false" customHeight="true" outlineLevel="0" collapsed="false">
      <c r="A19" s="13" t="s">
        <v>87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3" t="n">
        <f aca="false">IF(L19="S",1,IF(L19="M",3,IF(L19="L",8,IF(L19="XL",15,0))))</f>
        <v>0</v>
      </c>
      <c r="N19" s="20"/>
      <c r="O19" s="13" t="n">
        <f aca="false">IF(ISNUMBER(N19),N19,IF(ISNUMBER(M19),M19,0))</f>
        <v>0</v>
      </c>
      <c r="P19" s="9"/>
      <c r="Q19" s="9"/>
      <c r="R19" s="9"/>
    </row>
    <row r="20" customFormat="false" ht="48" hidden="false" customHeight="true" outlineLevel="0" collapsed="false">
      <c r="A20" s="13" t="s">
        <v>88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13" t="n">
        <f aca="false">IF(L20="S",1,IF(L20="M",3,IF(L20="L",8,IF(L20="XL",15,0))))</f>
        <v>0</v>
      </c>
      <c r="N20" s="20"/>
      <c r="O20" s="13" t="n">
        <f aca="false">IF(ISNUMBER(N20),N20,IF(ISNUMBER(M20),M20,0))</f>
        <v>0</v>
      </c>
      <c r="P20" s="9"/>
      <c r="Q20" s="9"/>
      <c r="R20" s="9"/>
    </row>
    <row r="21" customFormat="false" ht="48" hidden="false" customHeight="true" outlineLevel="0" collapsed="false">
      <c r="A21" s="13" t="s">
        <v>89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3" t="n">
        <f aca="false">IF(L21="S",1,IF(L21="M",3,IF(L21="L",8,IF(L21="XL",15,0))))</f>
        <v>0</v>
      </c>
      <c r="N21" s="20"/>
      <c r="O21" s="13" t="n">
        <f aca="false">IF(ISNUMBER(N21),N21,IF(ISNUMBER(M21),M21,0))</f>
        <v>0</v>
      </c>
      <c r="P21" s="9"/>
      <c r="Q21" s="9"/>
      <c r="R21" s="9"/>
    </row>
    <row r="22" customFormat="false" ht="48" hidden="false" customHeight="true" outlineLevel="0" collapsed="false">
      <c r="A22" s="13" t="s">
        <v>90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3" t="n">
        <f aca="false">IF(L22="S",1,IF(L22="M",3,IF(L22="L",8,IF(L22="XL",15,0))))</f>
        <v>0</v>
      </c>
      <c r="N22" s="20"/>
      <c r="O22" s="13" t="n">
        <f aca="false">IF(ISNUMBER(N22),N22,IF(ISNUMBER(M22),M22,0))</f>
        <v>0</v>
      </c>
      <c r="P22" s="9"/>
      <c r="Q22" s="9"/>
      <c r="R22" s="9"/>
    </row>
    <row r="23" customFormat="false" ht="48" hidden="false" customHeight="true" outlineLevel="0" collapsed="false">
      <c r="A23" s="13" t="s">
        <v>91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3" t="n">
        <f aca="false">IF(L23="S",1,IF(L23="M",3,IF(L23="L",8,IF(L23="XL",15,0))))</f>
        <v>0</v>
      </c>
      <c r="N23" s="20"/>
      <c r="O23" s="13" t="n">
        <f aca="false">IF(ISNUMBER(N23),N23,IF(ISNUMBER(M23),M23,0))</f>
        <v>0</v>
      </c>
      <c r="P23" s="9"/>
      <c r="Q23" s="9"/>
      <c r="R23" s="9"/>
    </row>
    <row r="24" customFormat="false" ht="48" hidden="false" customHeight="true" outlineLevel="0" collapsed="false">
      <c r="A24" s="13" t="s">
        <v>92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3" t="n">
        <f aca="false">IF(L24="S",1,IF(L24="M",3,IF(L24="L",8,IF(L24="XL",15,0))))</f>
        <v>0</v>
      </c>
      <c r="N24" s="20"/>
      <c r="O24" s="13" t="n">
        <f aca="false">IF(ISNUMBER(N24),N24,IF(ISNUMBER(M24),M24,0))</f>
        <v>0</v>
      </c>
      <c r="P24" s="9"/>
      <c r="Q24" s="9"/>
      <c r="R24" s="9"/>
    </row>
    <row r="25" customFormat="false" ht="48" hidden="false" customHeight="true" outlineLevel="0" collapsed="false">
      <c r="A25" s="13" t="s">
        <v>93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3" t="n">
        <f aca="false">IF(L25="S",1,IF(L25="M",3,IF(L25="L",8,IF(L25="XL",15,0))))</f>
        <v>0</v>
      </c>
      <c r="N25" s="20"/>
      <c r="O25" s="13" t="n">
        <f aca="false">IF(ISNUMBER(N25),N25,IF(ISNUMBER(M25),M25,0))</f>
        <v>0</v>
      </c>
      <c r="P25" s="9"/>
      <c r="Q25" s="9"/>
      <c r="R25" s="9"/>
    </row>
    <row r="26" customFormat="false" ht="48" hidden="false" customHeight="true" outlineLevel="0" collapsed="false">
      <c r="A26" s="13" t="s">
        <v>94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3" t="n">
        <f aca="false">IF(L26="S",1,IF(L26="M",3,IF(L26="L",8,IF(L26="XL",15,0))))</f>
        <v>0</v>
      </c>
      <c r="N26" s="20"/>
      <c r="O26" s="13" t="n">
        <f aca="false">IF(ISNUMBER(N26),N26,IF(ISNUMBER(M26),M26,0))</f>
        <v>0</v>
      </c>
      <c r="P26" s="9"/>
      <c r="Q26" s="9"/>
      <c r="R26" s="9"/>
    </row>
    <row r="27" customFormat="false" ht="48" hidden="false" customHeight="true" outlineLevel="0" collapsed="false">
      <c r="A27" s="13" t="s">
        <v>95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3" t="n">
        <f aca="false">IF(L27="S",1,IF(L27="M",3,IF(L27="L",8,IF(L27="XL",15,0))))</f>
        <v>0</v>
      </c>
      <c r="N27" s="20"/>
      <c r="O27" s="13" t="n">
        <f aca="false">IF(ISNUMBER(N27),N27,IF(ISNUMBER(M27),M27,0))</f>
        <v>0</v>
      </c>
      <c r="P27" s="9"/>
      <c r="Q27" s="9"/>
      <c r="R27" s="9"/>
    </row>
    <row r="28" customFormat="false" ht="48" hidden="false" customHeight="true" outlineLevel="0" collapsed="false">
      <c r="A28" s="13" t="s">
        <v>96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3" t="n">
        <f aca="false">IF(L28="S",1,IF(L28="M",3,IF(L28="L",8,IF(L28="XL",15,0))))</f>
        <v>0</v>
      </c>
      <c r="N28" s="20"/>
      <c r="O28" s="13" t="n">
        <f aca="false">IF(ISNUMBER(N28),N28,IF(ISNUMBER(M28),M28,0))</f>
        <v>0</v>
      </c>
      <c r="P28" s="9"/>
      <c r="Q28" s="9"/>
      <c r="R28" s="9"/>
    </row>
    <row r="30" customFormat="false" ht="15" hidden="false" customHeight="false" outlineLevel="0" collapsed="false">
      <c r="L30" s="25" t="s">
        <v>97</v>
      </c>
      <c r="M30" s="26" t="n">
        <f aca="false">SUM(M4:M28)</f>
        <v>0</v>
      </c>
      <c r="O30" s="26" t="n">
        <f aca="false">SUM(O4:O28)</f>
        <v>0</v>
      </c>
    </row>
    <row r="31" customFormat="false" ht="15" hidden="false" customHeight="false" outlineLevel="0" collapsed="false">
      <c r="L31" s="25" t="s">
        <v>98</v>
      </c>
      <c r="O31" s="26" t="n">
        <f aca="false">SUMIFS(O4:O28,K4:K28,"&lt;&gt;Done")</f>
        <v>0</v>
      </c>
    </row>
  </sheetData>
  <mergeCells count="1">
    <mergeCell ref="A1:R1"/>
  </mergeCells>
  <dataValidations count="3">
    <dataValidation allowBlank="true" errorStyle="stop" operator="between" showDropDown="false" showErrorMessage="false" showInputMessage="false" sqref="L29:L33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M4:N28 M29:M33" type="list">
      <formula1>"S,M,L,XL"</formula1>
      <formula2>0</formula2>
    </dataValidation>
    <dataValidation allowBlank="true" errorStyle="stop" operator="between" showDropDown="false" showErrorMessage="false" showInputMessage="false" sqref="J4:L28 K29:K33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30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24"/>
    <col collapsed="false" customWidth="true" hidden="false" outlineLevel="0" max="19" min="18" style="0" width="28"/>
  </cols>
  <sheetData>
    <row r="1" customFormat="false" ht="31.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7.5" hidden="false" customHeight="true" outlineLevel="0" collapsed="false"/>
    <row r="3" customFormat="false" ht="31.5" hidden="false" customHeight="true" outlineLevel="0" collapsed="false">
      <c r="A3" s="12" t="s">
        <v>55</v>
      </c>
      <c r="B3" s="12" t="s">
        <v>100</v>
      </c>
      <c r="C3" s="12" t="s">
        <v>101</v>
      </c>
      <c r="D3" s="12" t="s">
        <v>1</v>
      </c>
      <c r="E3" s="12" t="s">
        <v>102</v>
      </c>
      <c r="F3" s="12" t="s">
        <v>103</v>
      </c>
      <c r="G3" s="12" t="s">
        <v>104</v>
      </c>
      <c r="H3" s="12" t="s">
        <v>105</v>
      </c>
      <c r="I3" s="12" t="s">
        <v>61</v>
      </c>
      <c r="J3" s="12" t="s">
        <v>62</v>
      </c>
      <c r="K3" s="12" t="s">
        <v>63</v>
      </c>
      <c r="L3" s="12" t="s">
        <v>64</v>
      </c>
      <c r="M3" s="12" t="s">
        <v>65</v>
      </c>
      <c r="N3" s="12" t="s">
        <v>66</v>
      </c>
      <c r="O3" s="12" t="s">
        <v>67</v>
      </c>
      <c r="P3" s="12" t="s">
        <v>68</v>
      </c>
      <c r="Q3" s="12" t="s">
        <v>69</v>
      </c>
      <c r="R3" s="12" t="s">
        <v>70</v>
      </c>
      <c r="S3" s="12" t="s">
        <v>71</v>
      </c>
    </row>
    <row r="4" customFormat="false" ht="48" hidden="false" customHeight="true" outlineLevel="0" collapsed="false">
      <c r="A4" s="13" t="s">
        <v>106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3" t="n">
        <f aca="false">IF(M4="S",1,IF(M4="M",3,IF(M4="L",8,IF(M4="XL",15,0))))</f>
        <v>0</v>
      </c>
      <c r="O4" s="20"/>
      <c r="P4" s="13" t="n">
        <f aca="false">IF(ISNUMBER(O4),O4,IF(ISNUMBER(N4),N4,0))</f>
        <v>0</v>
      </c>
      <c r="Q4" s="9"/>
      <c r="R4" s="9"/>
      <c r="S4" s="9"/>
    </row>
    <row r="5" customFormat="false" ht="48" hidden="false" customHeight="true" outlineLevel="0" collapsed="false">
      <c r="A5" s="13" t="s">
        <v>107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3" t="n">
        <f aca="false">IF(M5="S",1,IF(M5="M",3,IF(M5="L",8,IF(M5="XL",15,0))))</f>
        <v>0</v>
      </c>
      <c r="O5" s="20"/>
      <c r="P5" s="13" t="n">
        <f aca="false">IF(ISNUMBER(O5),O5,IF(ISNUMBER(N5),N5,0))</f>
        <v>0</v>
      </c>
      <c r="Q5" s="9"/>
      <c r="R5" s="9"/>
      <c r="S5" s="9"/>
    </row>
    <row r="6" customFormat="false" ht="48" hidden="false" customHeight="true" outlineLevel="0" collapsed="false">
      <c r="A6" s="13" t="s">
        <v>108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3" t="n">
        <f aca="false">IF(M6="S",1,IF(M6="M",3,IF(M6="L",8,IF(M6="XL",15,0))))</f>
        <v>0</v>
      </c>
      <c r="O6" s="20"/>
      <c r="P6" s="13" t="n">
        <f aca="false">IF(ISNUMBER(O6),O6,IF(ISNUMBER(N6),N6,0))</f>
        <v>0</v>
      </c>
      <c r="Q6" s="9"/>
      <c r="R6" s="9"/>
      <c r="S6" s="9"/>
    </row>
    <row r="7" customFormat="false" ht="48" hidden="false" customHeight="true" outlineLevel="0" collapsed="false">
      <c r="A7" s="13" t="s">
        <v>109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3" t="n">
        <f aca="false">IF(M7="S",1,IF(M7="M",3,IF(M7="L",8,IF(M7="XL",15,0))))</f>
        <v>0</v>
      </c>
      <c r="O7" s="20"/>
      <c r="P7" s="13" t="n">
        <f aca="false">IF(ISNUMBER(O7),O7,IF(ISNUMBER(N7),N7,0))</f>
        <v>0</v>
      </c>
      <c r="Q7" s="9"/>
      <c r="R7" s="9"/>
      <c r="S7" s="9"/>
    </row>
    <row r="8" customFormat="false" ht="48" hidden="false" customHeight="true" outlineLevel="0" collapsed="false">
      <c r="A8" s="13" t="s">
        <v>110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3" t="n">
        <f aca="false">IF(M8="S",1,IF(M8="M",3,IF(M8="L",8,IF(M8="XL",15,0))))</f>
        <v>0</v>
      </c>
      <c r="O8" s="20"/>
      <c r="P8" s="13" t="n">
        <f aca="false">IF(ISNUMBER(O8),O8,IF(ISNUMBER(N8),N8,0))</f>
        <v>0</v>
      </c>
      <c r="Q8" s="9"/>
      <c r="R8" s="9"/>
      <c r="S8" s="9"/>
    </row>
    <row r="9" customFormat="false" ht="48" hidden="false" customHeight="true" outlineLevel="0" collapsed="false">
      <c r="A9" s="13" t="s">
        <v>111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3" t="n">
        <f aca="false">IF(M9="S",1,IF(M9="M",3,IF(M9="L",8,IF(M9="XL",15,0))))</f>
        <v>0</v>
      </c>
      <c r="O9" s="20"/>
      <c r="P9" s="13" t="n">
        <f aca="false">IF(ISNUMBER(O9),O9,IF(ISNUMBER(N9),N9,0))</f>
        <v>0</v>
      </c>
      <c r="Q9" s="9"/>
      <c r="R9" s="9"/>
      <c r="S9" s="9"/>
    </row>
    <row r="10" customFormat="false" ht="48" hidden="false" customHeight="true" outlineLevel="0" collapsed="false">
      <c r="A10" s="13" t="s">
        <v>112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 t="n">
        <f aca="false">IF(M10="S",1,IF(M10="M",3,IF(M10="L",8,IF(M10="XL",15,0))))</f>
        <v>0</v>
      </c>
      <c r="O10" s="20"/>
      <c r="P10" s="13" t="n">
        <f aca="false">IF(ISNUMBER(O10),O10,IF(ISNUMBER(N10),N10,0))</f>
        <v>0</v>
      </c>
      <c r="Q10" s="9"/>
      <c r="R10" s="9"/>
      <c r="S10" s="9"/>
    </row>
    <row r="11" customFormat="false" ht="48" hidden="false" customHeight="true" outlineLevel="0" collapsed="false">
      <c r="A11" s="13" t="s">
        <v>113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3" t="n">
        <f aca="false">IF(M11="S",1,IF(M11="M",3,IF(M11="L",8,IF(M11="XL",15,0))))</f>
        <v>0</v>
      </c>
      <c r="O11" s="20"/>
      <c r="P11" s="13" t="n">
        <f aca="false">IF(ISNUMBER(O11),O11,IF(ISNUMBER(N11),N11,0))</f>
        <v>0</v>
      </c>
      <c r="Q11" s="9"/>
      <c r="R11" s="9"/>
      <c r="S11" s="9"/>
    </row>
    <row r="12" customFormat="false" ht="48" hidden="false" customHeight="true" outlineLevel="0" collapsed="false">
      <c r="A12" s="13" t="s">
        <v>114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3" t="n">
        <f aca="false">IF(M12="S",1,IF(M12="M",3,IF(M12="L",8,IF(M12="XL",15,0))))</f>
        <v>0</v>
      </c>
      <c r="O12" s="20"/>
      <c r="P12" s="13" t="n">
        <f aca="false">IF(ISNUMBER(O12),O12,IF(ISNUMBER(N12),N12,0))</f>
        <v>0</v>
      </c>
      <c r="Q12" s="9"/>
      <c r="R12" s="9"/>
      <c r="S12" s="9"/>
    </row>
    <row r="13" customFormat="false" ht="48" hidden="false" customHeight="true" outlineLevel="0" collapsed="false">
      <c r="A13" s="13" t="s">
        <v>115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3" t="n">
        <f aca="false">IF(M13="S",1,IF(M13="M",3,IF(M13="L",8,IF(M13="XL",15,0))))</f>
        <v>0</v>
      </c>
      <c r="O13" s="20"/>
      <c r="P13" s="13" t="n">
        <f aca="false">IF(ISNUMBER(O13),O13,IF(ISNUMBER(N13),N13,0))</f>
        <v>0</v>
      </c>
      <c r="Q13" s="9"/>
      <c r="R13" s="9"/>
      <c r="S13" s="9"/>
    </row>
    <row r="14" customFormat="false" ht="48" hidden="false" customHeight="true" outlineLevel="0" collapsed="false">
      <c r="A14" s="13" t="s">
        <v>116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3" t="n">
        <f aca="false">IF(M14="S",1,IF(M14="M",3,IF(M14="L",8,IF(M14="XL",15,0))))</f>
        <v>0</v>
      </c>
      <c r="O14" s="20"/>
      <c r="P14" s="13" t="n">
        <f aca="false">IF(ISNUMBER(O14),O14,IF(ISNUMBER(N14),N14,0))</f>
        <v>0</v>
      </c>
      <c r="Q14" s="9"/>
      <c r="R14" s="9"/>
      <c r="S14" s="9"/>
    </row>
    <row r="15" customFormat="false" ht="48" hidden="false" customHeight="true" outlineLevel="0" collapsed="false">
      <c r="A15" s="13" t="s">
        <v>117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3" t="n">
        <f aca="false">IF(M15="S",1,IF(M15="M",3,IF(M15="L",8,IF(M15="XL",15,0))))</f>
        <v>0</v>
      </c>
      <c r="O15" s="20"/>
      <c r="P15" s="13" t="n">
        <f aca="false">IF(ISNUMBER(O15),O15,IF(ISNUMBER(N15),N15,0))</f>
        <v>0</v>
      </c>
      <c r="Q15" s="9"/>
      <c r="R15" s="9"/>
      <c r="S15" s="9"/>
    </row>
    <row r="16" customFormat="false" ht="48" hidden="false" customHeight="true" outlineLevel="0" collapsed="false">
      <c r="A16" s="13" t="s">
        <v>118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3" t="n">
        <f aca="false">IF(M16="S",1,IF(M16="M",3,IF(M16="L",8,IF(M16="XL",15,0))))</f>
        <v>0</v>
      </c>
      <c r="O16" s="20"/>
      <c r="P16" s="13" t="n">
        <f aca="false">IF(ISNUMBER(O16),O16,IF(ISNUMBER(N16),N16,0))</f>
        <v>0</v>
      </c>
      <c r="Q16" s="9"/>
      <c r="R16" s="9"/>
      <c r="S16" s="9"/>
    </row>
    <row r="17" customFormat="false" ht="48" hidden="false" customHeight="true" outlineLevel="0" collapsed="false">
      <c r="A17" s="13" t="s">
        <v>119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3" t="n">
        <f aca="false">IF(M17="S",1,IF(M17="M",3,IF(M17="L",8,IF(M17="XL",15,0))))</f>
        <v>0</v>
      </c>
      <c r="O17" s="20"/>
      <c r="P17" s="13" t="n">
        <f aca="false">IF(ISNUMBER(O17),O17,IF(ISNUMBER(N17),N17,0))</f>
        <v>0</v>
      </c>
      <c r="Q17" s="9"/>
      <c r="R17" s="9"/>
      <c r="S17" s="9"/>
    </row>
    <row r="18" customFormat="false" ht="48" hidden="false" customHeight="true" outlineLevel="0" collapsed="false">
      <c r="A18" s="13" t="s">
        <v>120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3" t="n">
        <f aca="false">IF(M18="S",1,IF(M18="M",3,IF(M18="L",8,IF(M18="XL",15,0))))</f>
        <v>0</v>
      </c>
      <c r="O18" s="20"/>
      <c r="P18" s="13" t="n">
        <f aca="false">IF(ISNUMBER(O18),O18,IF(ISNUMBER(N18),N18,0))</f>
        <v>0</v>
      </c>
      <c r="Q18" s="9"/>
      <c r="R18" s="9"/>
      <c r="S18" s="9"/>
    </row>
    <row r="19" customFormat="false" ht="48" hidden="false" customHeight="true" outlineLevel="0" collapsed="false">
      <c r="A19" s="13" t="s">
        <v>121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3" t="n">
        <f aca="false">IF(M19="S",1,IF(M19="M",3,IF(M19="L",8,IF(M19="XL",15,0))))</f>
        <v>0</v>
      </c>
      <c r="O19" s="20"/>
      <c r="P19" s="13" t="n">
        <f aca="false">IF(ISNUMBER(O19),O19,IF(ISNUMBER(N19),N19,0))</f>
        <v>0</v>
      </c>
      <c r="Q19" s="9"/>
      <c r="R19" s="9"/>
      <c r="S19" s="9"/>
    </row>
    <row r="20" customFormat="false" ht="48" hidden="false" customHeight="true" outlineLevel="0" collapsed="false">
      <c r="A20" s="13" t="s">
        <v>122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3" t="n">
        <f aca="false">IF(M20="S",1,IF(M20="M",3,IF(M20="L",8,IF(M20="XL",15,0))))</f>
        <v>0</v>
      </c>
      <c r="O20" s="20"/>
      <c r="P20" s="13" t="n">
        <f aca="false">IF(ISNUMBER(O20),O20,IF(ISNUMBER(N20),N20,0))</f>
        <v>0</v>
      </c>
      <c r="Q20" s="9"/>
      <c r="R20" s="9"/>
      <c r="S20" s="9"/>
    </row>
    <row r="21" customFormat="false" ht="48" hidden="false" customHeight="true" outlineLevel="0" collapsed="false">
      <c r="A21" s="13" t="s">
        <v>123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3" t="n">
        <f aca="false">IF(M21="S",1,IF(M21="M",3,IF(M21="L",8,IF(M21="XL",15,0))))</f>
        <v>0</v>
      </c>
      <c r="O21" s="20"/>
      <c r="P21" s="13" t="n">
        <f aca="false">IF(ISNUMBER(O21),O21,IF(ISNUMBER(N21),N21,0))</f>
        <v>0</v>
      </c>
      <c r="Q21" s="9"/>
      <c r="R21" s="9"/>
      <c r="S21" s="9"/>
    </row>
    <row r="22" customFormat="false" ht="48" hidden="false" customHeight="true" outlineLevel="0" collapsed="false">
      <c r="A22" s="13" t="s">
        <v>124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3" t="n">
        <f aca="false">IF(M22="S",1,IF(M22="M",3,IF(M22="L",8,IF(M22="XL",15,0))))</f>
        <v>0</v>
      </c>
      <c r="O22" s="20"/>
      <c r="P22" s="13" t="n">
        <f aca="false">IF(ISNUMBER(O22),O22,IF(ISNUMBER(N22),N22,0))</f>
        <v>0</v>
      </c>
      <c r="Q22" s="9"/>
      <c r="R22" s="9"/>
      <c r="S22" s="9"/>
    </row>
    <row r="23" customFormat="false" ht="48" hidden="false" customHeight="true" outlineLevel="0" collapsed="false">
      <c r="A23" s="13" t="s">
        <v>125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3" t="n">
        <f aca="false">IF(M23="S",1,IF(M23="M",3,IF(M23="L",8,IF(M23="XL",15,0))))</f>
        <v>0</v>
      </c>
      <c r="O23" s="20"/>
      <c r="P23" s="13" t="n">
        <f aca="false">IF(ISNUMBER(O23),O23,IF(ISNUMBER(N23),N23,0))</f>
        <v>0</v>
      </c>
      <c r="Q23" s="9"/>
      <c r="R23" s="9"/>
      <c r="S23" s="9"/>
    </row>
    <row r="24" customFormat="false" ht="48" hidden="false" customHeight="true" outlineLevel="0" collapsed="false">
      <c r="A24" s="13" t="s">
        <v>126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3" t="n">
        <f aca="false">IF(M24="S",1,IF(M24="M",3,IF(M24="L",8,IF(M24="XL",15,0))))</f>
        <v>0</v>
      </c>
      <c r="O24" s="20"/>
      <c r="P24" s="13" t="n">
        <f aca="false">IF(ISNUMBER(O24),O24,IF(ISNUMBER(N24),N24,0))</f>
        <v>0</v>
      </c>
      <c r="Q24" s="9"/>
      <c r="R24" s="9"/>
      <c r="S24" s="9"/>
    </row>
    <row r="25" customFormat="false" ht="48" hidden="false" customHeight="true" outlineLevel="0" collapsed="false">
      <c r="A25" s="13" t="s">
        <v>127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3" t="n">
        <f aca="false">IF(M25="S",1,IF(M25="M",3,IF(M25="L",8,IF(M25="XL",15,0))))</f>
        <v>0</v>
      </c>
      <c r="O25" s="20"/>
      <c r="P25" s="13" t="n">
        <f aca="false">IF(ISNUMBER(O25),O25,IF(ISNUMBER(N25),N25,0))</f>
        <v>0</v>
      </c>
      <c r="Q25" s="9"/>
      <c r="R25" s="9"/>
      <c r="S25" s="9"/>
    </row>
    <row r="26" customFormat="false" ht="48" hidden="false" customHeight="true" outlineLevel="0" collapsed="false">
      <c r="A26" s="13" t="s">
        <v>128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3" t="n">
        <f aca="false">IF(M26="S",1,IF(M26="M",3,IF(M26="L",8,IF(M26="XL",15,0))))</f>
        <v>0</v>
      </c>
      <c r="O26" s="20"/>
      <c r="P26" s="13" t="n">
        <f aca="false">IF(ISNUMBER(O26),O26,IF(ISNUMBER(N26),N26,0))</f>
        <v>0</v>
      </c>
      <c r="Q26" s="9"/>
      <c r="R26" s="9"/>
      <c r="S26" s="9"/>
    </row>
    <row r="27" customFormat="false" ht="48" hidden="false" customHeight="true" outlineLevel="0" collapsed="false">
      <c r="A27" s="13" t="s">
        <v>129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3" t="n">
        <f aca="false">IF(M27="S",1,IF(M27="M",3,IF(M27="L",8,IF(M27="XL",15,0))))</f>
        <v>0</v>
      </c>
      <c r="O27" s="20"/>
      <c r="P27" s="13" t="n">
        <f aca="false">IF(ISNUMBER(O27),O27,IF(ISNUMBER(N27),N27,0))</f>
        <v>0</v>
      </c>
      <c r="Q27" s="9"/>
      <c r="R27" s="9"/>
      <c r="S27" s="9"/>
    </row>
    <row r="28" customFormat="false" ht="48" hidden="false" customHeight="true" outlineLevel="0" collapsed="false">
      <c r="A28" s="13" t="s">
        <v>130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3" t="n">
        <f aca="false">IF(M28="S",1,IF(M28="M",3,IF(M28="L",8,IF(M28="XL",15,0))))</f>
        <v>0</v>
      </c>
      <c r="O28" s="20"/>
      <c r="P28" s="13" t="n">
        <f aca="false">IF(ISNUMBER(O28),O28,IF(ISNUMBER(N28),N28,0))</f>
        <v>0</v>
      </c>
      <c r="Q28" s="9"/>
      <c r="R28" s="9"/>
      <c r="S28" s="9"/>
    </row>
    <row r="29" customFormat="false" ht="48" hidden="false" customHeight="true" outlineLevel="0" collapsed="false">
      <c r="A29" s="13" t="s">
        <v>131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3" t="n">
        <f aca="false">IF(M29="S",1,IF(M29="M",3,IF(M29="L",8,IF(M29="XL",15,0))))</f>
        <v>0</v>
      </c>
      <c r="O29" s="20"/>
      <c r="P29" s="13" t="n">
        <f aca="false">IF(ISNUMBER(O29),O29,IF(ISNUMBER(N29),N29,0))</f>
        <v>0</v>
      </c>
      <c r="Q29" s="9"/>
      <c r="R29" s="9"/>
      <c r="S29" s="9"/>
    </row>
    <row r="30" customFormat="false" ht="48" hidden="false" customHeight="true" outlineLevel="0" collapsed="false">
      <c r="A30" s="13" t="s">
        <v>132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3" t="n">
        <f aca="false">IF(M30="S",1,IF(M30="M",3,IF(M30="L",8,IF(M30="XL",15,0))))</f>
        <v>0</v>
      </c>
      <c r="O30" s="20"/>
      <c r="P30" s="13" t="n">
        <f aca="false">IF(ISNUMBER(O30),O30,IF(ISNUMBER(N30),N30,0))</f>
        <v>0</v>
      </c>
      <c r="Q30" s="9"/>
      <c r="R30" s="9"/>
      <c r="S30" s="9"/>
    </row>
    <row r="31" customFormat="false" ht="48" hidden="false" customHeight="true" outlineLevel="0" collapsed="false">
      <c r="A31" s="13" t="s">
        <v>133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3" t="n">
        <f aca="false">IF(M31="S",1,IF(M31="M",3,IF(M31="L",8,IF(M31="XL",15,0))))</f>
        <v>0</v>
      </c>
      <c r="O31" s="20"/>
      <c r="P31" s="13" t="n">
        <f aca="false">IF(ISNUMBER(O31),O31,IF(ISNUMBER(N31),N31,0))</f>
        <v>0</v>
      </c>
      <c r="Q31" s="9"/>
      <c r="R31" s="9"/>
      <c r="S31" s="9"/>
    </row>
    <row r="32" customFormat="false" ht="48" hidden="false" customHeight="true" outlineLevel="0" collapsed="false">
      <c r="A32" s="13" t="s">
        <v>134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3" t="n">
        <f aca="false">IF(M32="S",1,IF(M32="M",3,IF(M32="L",8,IF(M32="XL",15,0))))</f>
        <v>0</v>
      </c>
      <c r="O32" s="20"/>
      <c r="P32" s="13" t="n">
        <f aca="false">IF(ISNUMBER(O32),O32,IF(ISNUMBER(N32),N32,0))</f>
        <v>0</v>
      </c>
      <c r="Q32" s="9"/>
      <c r="R32" s="9"/>
      <c r="S32" s="9"/>
    </row>
    <row r="33" customFormat="false" ht="48" hidden="false" customHeight="true" outlineLevel="0" collapsed="false">
      <c r="A33" s="13" t="s">
        <v>135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3" t="n">
        <f aca="false">IF(M33="S",1,IF(M33="M",3,IF(M33="L",8,IF(M33="XL",15,0))))</f>
        <v>0</v>
      </c>
      <c r="O33" s="20"/>
      <c r="P33" s="13" t="n">
        <f aca="false">IF(ISNUMBER(O33),O33,IF(ISNUMBER(N33),N33,0))</f>
        <v>0</v>
      </c>
      <c r="Q33" s="9"/>
      <c r="R33" s="9"/>
      <c r="S33" s="9"/>
    </row>
    <row r="35" customFormat="false" ht="15" hidden="false" customHeight="false" outlineLevel="0" collapsed="false">
      <c r="M35" s="25" t="s">
        <v>97</v>
      </c>
      <c r="N35" s="26" t="n">
        <f aca="false">SUM(N4:N33)</f>
        <v>0</v>
      </c>
      <c r="P35" s="26" t="n">
        <f aca="false">SUM(P4:P33)</f>
        <v>0</v>
      </c>
    </row>
    <row r="36" customFormat="false" ht="15" hidden="false" customHeight="false" outlineLevel="0" collapsed="false">
      <c r="M36" s="25" t="s">
        <v>98</v>
      </c>
      <c r="P36" s="26" t="n">
        <f aca="false">SUMIFS(P4:P33,L4:L33,"&lt;&gt;Done")</f>
        <v>0</v>
      </c>
    </row>
  </sheetData>
  <mergeCells count="1">
    <mergeCell ref="A1:S1"/>
  </mergeCells>
  <dataValidations count="5">
    <dataValidation allowBlank="true" errorStyle="stop" operator="between" showDropDown="false" showErrorMessage="false" showInputMessage="false" sqref="L29:L33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M4:N28 M29:M33" type="list">
      <formula1>"S,M,L,XL"</formula1>
      <formula2>0</formula2>
    </dataValidation>
    <dataValidation allowBlank="true" errorStyle="stop" operator="between" showDropDown="false" showErrorMessage="false" showInputMessage="false" sqref="J4:L28 K29:K33" type="list">
      <formula1>"Must,Should,Could,Won't"</formula1>
      <formula2>0</formula2>
    </dataValidation>
    <dataValidation allowBlank="true" errorStyle="stop" operator="between" showDropDown="false" showErrorMessage="false" showInputMessage="false" sqref="H4:H33" type="list">
      <formula1>"Yes,No"</formula1>
      <formula2>0</formula2>
    </dataValidation>
    <dataValidation allowBlank="true" errorStyle="stop" operator="between" showDropDown="false" showErrorMessage="false" showInputMessage="false" sqref="C4:C33" type="list">
      <formula1>"REST API,GraphQL,Worker,Scheduled Job,gRPC,Auth Service,Gateway,Library/SDK,Other"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7" min="5" style="0" width="1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30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20" min="19" style="0" width="28"/>
  </cols>
  <sheetData>
    <row r="1" customFormat="false" ht="31.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7.5" hidden="false" customHeight="true" outlineLevel="0" collapsed="false"/>
    <row r="3" customFormat="false" ht="31.5" hidden="false" customHeight="true" outlineLevel="0" collapsed="false">
      <c r="A3" s="12" t="s">
        <v>55</v>
      </c>
      <c r="B3" s="12" t="s">
        <v>137</v>
      </c>
      <c r="C3" s="12" t="s">
        <v>138</v>
      </c>
      <c r="D3" s="12" t="s">
        <v>1</v>
      </c>
      <c r="E3" s="12" t="s">
        <v>139</v>
      </c>
      <c r="F3" s="12" t="s">
        <v>140</v>
      </c>
      <c r="G3" s="12" t="s">
        <v>141</v>
      </c>
      <c r="H3" s="12" t="s">
        <v>142</v>
      </c>
      <c r="I3" s="12" t="s">
        <v>143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</row>
    <row r="4" customFormat="false" ht="48" hidden="false" customHeight="true" outlineLevel="0" collapsed="false">
      <c r="A4" s="13" t="s">
        <v>144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" t="n">
        <f aca="false">IF(N4="S",1,IF(N4="M",3,IF(N4="L",8,IF(N4="XL",15,0))))</f>
        <v>0</v>
      </c>
      <c r="P4" s="20"/>
      <c r="Q4" s="13" t="n">
        <f aca="false">IF(ISNUMBER(P4),P4,IF(ISNUMBER(O4),O4,0))</f>
        <v>0</v>
      </c>
      <c r="R4" s="9"/>
      <c r="S4" s="9"/>
      <c r="T4" s="9"/>
    </row>
    <row r="5" customFormat="false" ht="48" hidden="false" customHeight="true" outlineLevel="0" collapsed="false">
      <c r="A5" s="13" t="s">
        <v>145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" t="n">
        <f aca="false">IF(N5="S",1,IF(N5="M",3,IF(N5="L",8,IF(N5="XL",15,0))))</f>
        <v>0</v>
      </c>
      <c r="P5" s="20"/>
      <c r="Q5" s="13" t="n">
        <f aca="false">IF(ISNUMBER(P5),P5,IF(ISNUMBER(O5),O5,0))</f>
        <v>0</v>
      </c>
      <c r="R5" s="9"/>
      <c r="S5" s="9"/>
      <c r="T5" s="9"/>
    </row>
    <row r="6" customFormat="false" ht="48" hidden="false" customHeight="true" outlineLevel="0" collapsed="false">
      <c r="A6" s="13" t="s">
        <v>146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" t="n">
        <f aca="false">IF(N6="S",1,IF(N6="M",3,IF(N6="L",8,IF(N6="XL",15,0))))</f>
        <v>0</v>
      </c>
      <c r="P6" s="20"/>
      <c r="Q6" s="13" t="n">
        <f aca="false">IF(ISNUMBER(P6),P6,IF(ISNUMBER(O6),O6,0))</f>
        <v>0</v>
      </c>
      <c r="R6" s="9"/>
      <c r="S6" s="9"/>
      <c r="T6" s="9"/>
    </row>
    <row r="7" customFormat="false" ht="48" hidden="false" customHeight="true" outlineLevel="0" collapsed="false">
      <c r="A7" s="13" t="s">
        <v>147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3" t="n">
        <f aca="false">IF(N7="S",1,IF(N7="M",3,IF(N7="L",8,IF(N7="XL",15,0))))</f>
        <v>0</v>
      </c>
      <c r="P7" s="20"/>
      <c r="Q7" s="13" t="n">
        <f aca="false">IF(ISNUMBER(P7),P7,IF(ISNUMBER(O7),O7,0))</f>
        <v>0</v>
      </c>
      <c r="R7" s="9"/>
      <c r="S7" s="9"/>
      <c r="T7" s="9"/>
    </row>
    <row r="8" customFormat="false" ht="48" hidden="false" customHeight="true" outlineLevel="0" collapsed="false">
      <c r="A8" s="13" t="s">
        <v>148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3" t="n">
        <f aca="false">IF(N8="S",1,IF(N8="M",3,IF(N8="L",8,IF(N8="XL",15,0))))</f>
        <v>0</v>
      </c>
      <c r="P8" s="20"/>
      <c r="Q8" s="13" t="n">
        <f aca="false">IF(ISNUMBER(P8),P8,IF(ISNUMBER(O8),O8,0))</f>
        <v>0</v>
      </c>
      <c r="R8" s="9"/>
      <c r="S8" s="9"/>
      <c r="T8" s="9"/>
    </row>
    <row r="9" customFormat="false" ht="48" hidden="false" customHeight="true" outlineLevel="0" collapsed="false">
      <c r="A9" s="13" t="s">
        <v>149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3" t="n">
        <f aca="false">IF(N9="S",1,IF(N9="M",3,IF(N9="L",8,IF(N9="XL",15,0))))</f>
        <v>0</v>
      </c>
      <c r="P9" s="20"/>
      <c r="Q9" s="13" t="n">
        <f aca="false">IF(ISNUMBER(P9),P9,IF(ISNUMBER(O9),O9,0))</f>
        <v>0</v>
      </c>
      <c r="R9" s="9"/>
      <c r="S9" s="9"/>
      <c r="T9" s="9"/>
    </row>
    <row r="10" customFormat="false" ht="48" hidden="false" customHeight="true" outlineLevel="0" collapsed="false">
      <c r="A10" s="13" t="s">
        <v>150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3" t="n">
        <f aca="false">IF(N10="S",1,IF(N10="M",3,IF(N10="L",8,IF(N10="XL",15,0))))</f>
        <v>0</v>
      </c>
      <c r="P10" s="20"/>
      <c r="Q10" s="13" t="n">
        <f aca="false">IF(ISNUMBER(P10),P10,IF(ISNUMBER(O10),O10,0))</f>
        <v>0</v>
      </c>
      <c r="R10" s="9"/>
      <c r="S10" s="9"/>
      <c r="T10" s="9"/>
    </row>
    <row r="11" customFormat="false" ht="48" hidden="false" customHeight="true" outlineLevel="0" collapsed="false">
      <c r="A11" s="13" t="s">
        <v>151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3" t="n">
        <f aca="false">IF(N11="S",1,IF(N11="M",3,IF(N11="L",8,IF(N11="XL",15,0))))</f>
        <v>0</v>
      </c>
      <c r="P11" s="20"/>
      <c r="Q11" s="13" t="n">
        <f aca="false">IF(ISNUMBER(P11),P11,IF(ISNUMBER(O11),O11,0))</f>
        <v>0</v>
      </c>
      <c r="R11" s="9"/>
      <c r="S11" s="9"/>
      <c r="T11" s="9"/>
    </row>
    <row r="12" customFormat="false" ht="48" hidden="false" customHeight="true" outlineLevel="0" collapsed="false">
      <c r="A12" s="13" t="s">
        <v>152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3" t="n">
        <f aca="false">IF(N12="S",1,IF(N12="M",3,IF(N12="L",8,IF(N12="XL",15,0))))</f>
        <v>0</v>
      </c>
      <c r="P12" s="20"/>
      <c r="Q12" s="13" t="n">
        <f aca="false">IF(ISNUMBER(P12),P12,IF(ISNUMBER(O12),O12,0))</f>
        <v>0</v>
      </c>
      <c r="R12" s="9"/>
      <c r="S12" s="9"/>
      <c r="T12" s="9"/>
    </row>
    <row r="13" customFormat="false" ht="48" hidden="false" customHeight="true" outlineLevel="0" collapsed="false">
      <c r="A13" s="13" t="s">
        <v>153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3" t="n">
        <f aca="false">IF(N13="S",1,IF(N13="M",3,IF(N13="L",8,IF(N13="XL",15,0))))</f>
        <v>0</v>
      </c>
      <c r="P13" s="20"/>
      <c r="Q13" s="13" t="n">
        <f aca="false">IF(ISNUMBER(P13),P13,IF(ISNUMBER(O13),O13,0))</f>
        <v>0</v>
      </c>
      <c r="R13" s="9"/>
      <c r="S13" s="9"/>
      <c r="T13" s="9"/>
    </row>
    <row r="14" customFormat="false" ht="48" hidden="false" customHeight="true" outlineLevel="0" collapsed="false">
      <c r="A14" s="13" t="s">
        <v>154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3" t="n">
        <f aca="false">IF(N14="S",1,IF(N14="M",3,IF(N14="L",8,IF(N14="XL",15,0))))</f>
        <v>0</v>
      </c>
      <c r="P14" s="20"/>
      <c r="Q14" s="13" t="n">
        <f aca="false">IF(ISNUMBER(P14),P14,IF(ISNUMBER(O14),O14,0))</f>
        <v>0</v>
      </c>
      <c r="R14" s="9"/>
      <c r="S14" s="9"/>
      <c r="T14" s="9"/>
    </row>
    <row r="15" customFormat="false" ht="48" hidden="false" customHeight="true" outlineLevel="0" collapsed="false">
      <c r="A15" s="13" t="s">
        <v>155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3" t="n">
        <f aca="false">IF(N15="S",1,IF(N15="M",3,IF(N15="L",8,IF(N15="XL",15,0))))</f>
        <v>0</v>
      </c>
      <c r="P15" s="20"/>
      <c r="Q15" s="13" t="n">
        <f aca="false">IF(ISNUMBER(P15),P15,IF(ISNUMBER(O15),O15,0))</f>
        <v>0</v>
      </c>
      <c r="R15" s="9"/>
      <c r="S15" s="9"/>
      <c r="T15" s="9"/>
    </row>
    <row r="16" customFormat="false" ht="48" hidden="false" customHeight="true" outlineLevel="0" collapsed="false">
      <c r="A16" s="13" t="s">
        <v>156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3" t="n">
        <f aca="false">IF(N16="S",1,IF(N16="M",3,IF(N16="L",8,IF(N16="XL",15,0))))</f>
        <v>0</v>
      </c>
      <c r="P16" s="20"/>
      <c r="Q16" s="13" t="n">
        <f aca="false">IF(ISNUMBER(P16),P16,IF(ISNUMBER(O16),O16,0))</f>
        <v>0</v>
      </c>
      <c r="R16" s="9"/>
      <c r="S16" s="9"/>
      <c r="T16" s="9"/>
    </row>
    <row r="17" customFormat="false" ht="48" hidden="false" customHeight="true" outlineLevel="0" collapsed="false">
      <c r="A17" s="13" t="s">
        <v>157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3" t="n">
        <f aca="false">IF(N17="S",1,IF(N17="M",3,IF(N17="L",8,IF(N17="XL",15,0))))</f>
        <v>0</v>
      </c>
      <c r="P17" s="20"/>
      <c r="Q17" s="13" t="n">
        <f aca="false">IF(ISNUMBER(P17),P17,IF(ISNUMBER(O17),O17,0))</f>
        <v>0</v>
      </c>
      <c r="R17" s="9"/>
      <c r="S17" s="9"/>
      <c r="T17" s="9"/>
    </row>
    <row r="18" customFormat="false" ht="48" hidden="false" customHeight="true" outlineLevel="0" collapsed="false">
      <c r="A18" s="13" t="s">
        <v>158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3" t="n">
        <f aca="false">IF(N18="S",1,IF(N18="M",3,IF(N18="L",8,IF(N18="XL",15,0))))</f>
        <v>0</v>
      </c>
      <c r="P18" s="20"/>
      <c r="Q18" s="13" t="n">
        <f aca="false">IF(ISNUMBER(P18),P18,IF(ISNUMBER(O18),O18,0))</f>
        <v>0</v>
      </c>
      <c r="R18" s="9"/>
      <c r="S18" s="9"/>
      <c r="T18" s="9"/>
    </row>
    <row r="19" customFormat="false" ht="48" hidden="false" customHeight="true" outlineLevel="0" collapsed="false">
      <c r="A19" s="13" t="s">
        <v>159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3" t="n">
        <f aca="false">IF(N19="S",1,IF(N19="M",3,IF(N19="L",8,IF(N19="XL",15,0))))</f>
        <v>0</v>
      </c>
      <c r="P19" s="20"/>
      <c r="Q19" s="13" t="n">
        <f aca="false">IF(ISNUMBER(P19),P19,IF(ISNUMBER(O19),O19,0))</f>
        <v>0</v>
      </c>
      <c r="R19" s="9"/>
      <c r="S19" s="9"/>
      <c r="T19" s="9"/>
    </row>
    <row r="20" customFormat="false" ht="48" hidden="false" customHeight="true" outlineLevel="0" collapsed="false">
      <c r="A20" s="13" t="s">
        <v>160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3" t="n">
        <f aca="false">IF(N20="S",1,IF(N20="M",3,IF(N20="L",8,IF(N20="XL",15,0))))</f>
        <v>0</v>
      </c>
      <c r="P20" s="20"/>
      <c r="Q20" s="13" t="n">
        <f aca="false">IF(ISNUMBER(P20),P20,IF(ISNUMBER(O20),O20,0))</f>
        <v>0</v>
      </c>
      <c r="R20" s="9"/>
      <c r="S20" s="9"/>
      <c r="T20" s="9"/>
    </row>
    <row r="21" customFormat="false" ht="48" hidden="false" customHeight="true" outlineLevel="0" collapsed="false">
      <c r="A21" s="13" t="s">
        <v>161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3" t="n">
        <f aca="false">IF(N21="S",1,IF(N21="M",3,IF(N21="L",8,IF(N21="XL",15,0))))</f>
        <v>0</v>
      </c>
      <c r="P21" s="20"/>
      <c r="Q21" s="13" t="n">
        <f aca="false">IF(ISNUMBER(P21),P21,IF(ISNUMBER(O21),O21,0))</f>
        <v>0</v>
      </c>
      <c r="R21" s="9"/>
      <c r="S21" s="9"/>
      <c r="T21" s="9"/>
    </row>
    <row r="22" customFormat="false" ht="48" hidden="false" customHeight="true" outlineLevel="0" collapsed="false">
      <c r="A22" s="13" t="s">
        <v>162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3" t="n">
        <f aca="false">IF(N22="S",1,IF(N22="M",3,IF(N22="L",8,IF(N22="XL",15,0))))</f>
        <v>0</v>
      </c>
      <c r="P22" s="20"/>
      <c r="Q22" s="13" t="n">
        <f aca="false">IF(ISNUMBER(P22),P22,IF(ISNUMBER(O22),O22,0))</f>
        <v>0</v>
      </c>
      <c r="R22" s="9"/>
      <c r="S22" s="9"/>
      <c r="T22" s="9"/>
    </row>
    <row r="23" customFormat="false" ht="48" hidden="false" customHeight="true" outlineLevel="0" collapsed="false">
      <c r="A23" s="13" t="s">
        <v>163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3" t="n">
        <f aca="false">IF(N23="S",1,IF(N23="M",3,IF(N23="L",8,IF(N23="XL",15,0))))</f>
        <v>0</v>
      </c>
      <c r="P23" s="20"/>
      <c r="Q23" s="13" t="n">
        <f aca="false">IF(ISNUMBER(P23),P23,IF(ISNUMBER(O23),O23,0))</f>
        <v>0</v>
      </c>
      <c r="R23" s="9"/>
      <c r="S23" s="9"/>
      <c r="T23" s="9"/>
    </row>
    <row r="24" customFormat="false" ht="48" hidden="false" customHeight="true" outlineLevel="0" collapsed="false">
      <c r="A24" s="13" t="s">
        <v>164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3" t="n">
        <f aca="false">IF(N24="S",1,IF(N24="M",3,IF(N24="L",8,IF(N24="XL",15,0))))</f>
        <v>0</v>
      </c>
      <c r="P24" s="20"/>
      <c r="Q24" s="13" t="n">
        <f aca="false">IF(ISNUMBER(P24),P24,IF(ISNUMBER(O24),O24,0))</f>
        <v>0</v>
      </c>
      <c r="R24" s="9"/>
      <c r="S24" s="9"/>
      <c r="T24" s="9"/>
    </row>
    <row r="25" customFormat="false" ht="48" hidden="false" customHeight="true" outlineLevel="0" collapsed="false">
      <c r="A25" s="13" t="s">
        <v>165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3" t="n">
        <f aca="false">IF(N25="S",1,IF(N25="M",3,IF(N25="L",8,IF(N25="XL",15,0))))</f>
        <v>0</v>
      </c>
      <c r="P25" s="20"/>
      <c r="Q25" s="13" t="n">
        <f aca="false">IF(ISNUMBER(P25),P25,IF(ISNUMBER(O25),O25,0))</f>
        <v>0</v>
      </c>
      <c r="R25" s="9"/>
      <c r="S25" s="9"/>
      <c r="T25" s="9"/>
    </row>
    <row r="26" customFormat="false" ht="48" hidden="false" customHeight="true" outlineLevel="0" collapsed="false">
      <c r="A26" s="13" t="s">
        <v>166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3" t="n">
        <f aca="false">IF(N26="S",1,IF(N26="M",3,IF(N26="L",8,IF(N26="XL",15,0))))</f>
        <v>0</v>
      </c>
      <c r="P26" s="20"/>
      <c r="Q26" s="13" t="n">
        <f aca="false">IF(ISNUMBER(P26),P26,IF(ISNUMBER(O26),O26,0))</f>
        <v>0</v>
      </c>
      <c r="R26" s="9"/>
      <c r="S26" s="9"/>
      <c r="T26" s="9"/>
    </row>
    <row r="27" customFormat="false" ht="48" hidden="false" customHeight="true" outlineLevel="0" collapsed="false">
      <c r="A27" s="13" t="s">
        <v>167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3" t="n">
        <f aca="false">IF(N27="S",1,IF(N27="M",3,IF(N27="L",8,IF(N27="XL",15,0))))</f>
        <v>0</v>
      </c>
      <c r="P27" s="20"/>
      <c r="Q27" s="13" t="n">
        <f aca="false">IF(ISNUMBER(P27),P27,IF(ISNUMBER(O27),O27,0))</f>
        <v>0</v>
      </c>
      <c r="R27" s="9"/>
      <c r="S27" s="9"/>
      <c r="T27" s="9"/>
    </row>
    <row r="28" customFormat="false" ht="48" hidden="false" customHeight="true" outlineLevel="0" collapsed="false">
      <c r="A28" s="13" t="s">
        <v>168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3" t="n">
        <f aca="false">IF(N28="S",1,IF(N28="M",3,IF(N28="L",8,IF(N28="XL",15,0))))</f>
        <v>0</v>
      </c>
      <c r="P28" s="20"/>
      <c r="Q28" s="13" t="n">
        <f aca="false">IF(ISNUMBER(P28),P28,IF(ISNUMBER(O28),O28,0))</f>
        <v>0</v>
      </c>
      <c r="R28" s="9"/>
      <c r="S28" s="9"/>
      <c r="T28" s="9"/>
    </row>
    <row r="30" customFormat="false" ht="15" hidden="false" customHeight="false" outlineLevel="0" collapsed="false">
      <c r="N30" s="25" t="s">
        <v>97</v>
      </c>
      <c r="O30" s="26" t="n">
        <f aca="false">SUM(O4:O28)</f>
        <v>0</v>
      </c>
      <c r="Q30" s="26" t="n">
        <f aca="false">SUM(Q4:Q28)</f>
        <v>0</v>
      </c>
    </row>
    <row r="31" customFormat="false" ht="15" hidden="false" customHeight="false" outlineLevel="0" collapsed="false">
      <c r="N31" s="25" t="s">
        <v>98</v>
      </c>
      <c r="Q31" s="26" t="n">
        <f aca="false">SUMIFS(Q4:Q28,M4:M28,"&lt;&gt;Done")</f>
        <v>0</v>
      </c>
    </row>
  </sheetData>
  <mergeCells count="1">
    <mergeCell ref="A1:T1"/>
  </mergeCells>
  <dataValidations count="5">
    <dataValidation allowBlank="true" errorStyle="stop" operator="between" showDropDown="false" showErrorMessage="false" showInputMessage="false" sqref="L29:L33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M4:N28 M29:M33" type="list">
      <formula1>"S,M,L,XL"</formula1>
      <formula2>0</formula2>
    </dataValidation>
    <dataValidation allowBlank="true" errorStyle="stop" operator="between" showDropDown="false" showErrorMessage="false" showInputMessage="false" sqref="J4:L28 K29:K33" type="list">
      <formula1>"Must,Should,Could,Won't"</formula1>
      <formula2>0</formula2>
    </dataValidation>
    <dataValidation allowBlank="true" errorStyle="stop" operator="between" showDropDown="false" showErrorMessage="false" showInputMessage="false" sqref="H4:H33" type="list">
      <formula1>"Yes,No"</formula1>
      <formula2>0</formula2>
    </dataValidation>
    <dataValidation allowBlank="true" errorStyle="stop" operator="between" showDropDown="false" showErrorMessage="false" showInputMessage="false" sqref="C4:C28" type="list">
      <formula1>"Microservice,Message Queue,Database,Cache,Object Storage,Auth Provider,Email/SMS,Payment Gateway,Analytics,Monitoring,CI/CD,Webhook,Other"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2026-05-13T19:58:47Z</dcterms:created>
  <dc:creator>openpyxl</dc:creator>
  <dc:description/>
  <dc:language>en-US</dc:language>
  <cp:lastModifiedBy/>
  <dcterms:modified xsi:type="dcterms:W3CDTF">2026-05-13T19:58:47Z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